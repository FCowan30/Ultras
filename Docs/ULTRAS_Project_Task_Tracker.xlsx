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ULTRAS\Ultras\Docs\"/>
    </mc:Choice>
  </mc:AlternateContent>
  <xr:revisionPtr revIDLastSave="0" documentId="13_ncr:1_{06646E09-0DA0-4408-ACC1-CA2FADF6ECCA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Dashboard" sheetId="1" r:id="rId1"/>
    <sheet name="Task Tracker" sheetId="2" r:id="rId2"/>
    <sheet name="Weekly Plan" sheetId="3" r:id="rId3"/>
    <sheet name="Documentation" sheetId="4" r:id="rId4"/>
    <sheet name="Research Log" sheetId="5" r:id="rId5"/>
    <sheet name="Guide" sheetId="6" r:id="rId6"/>
    <sheet name="Dashboard D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7" l="1"/>
  <c r="H17" i="7"/>
  <c r="I16" i="7"/>
  <c r="H16" i="7"/>
  <c r="I15" i="7"/>
  <c r="H15" i="7"/>
  <c r="I14" i="7"/>
  <c r="H14" i="7"/>
  <c r="I13" i="7"/>
  <c r="H13" i="7"/>
  <c r="I12" i="7"/>
  <c r="H12" i="7"/>
  <c r="I11" i="7"/>
  <c r="H11" i="7"/>
  <c r="I10" i="7"/>
  <c r="H10" i="7"/>
  <c r="I9" i="7"/>
  <c r="H9" i="7"/>
  <c r="E9" i="7"/>
  <c r="I8" i="7"/>
  <c r="H8" i="7"/>
  <c r="E8" i="7"/>
  <c r="D17" i="1" s="1"/>
  <c r="F17" i="1" s="1"/>
  <c r="I7" i="7"/>
  <c r="H7" i="7"/>
  <c r="E7" i="7"/>
  <c r="B7" i="7"/>
  <c r="I6" i="7"/>
  <c r="H6" i="7"/>
  <c r="E6" i="7"/>
  <c r="B6" i="7"/>
  <c r="I5" i="7"/>
  <c r="H5" i="7"/>
  <c r="E5" i="7"/>
  <c r="B5" i="7"/>
  <c r="I4" i="7"/>
  <c r="H4" i="7"/>
  <c r="E4" i="7"/>
  <c r="B4" i="7"/>
  <c r="I3" i="7"/>
  <c r="H3" i="7"/>
  <c r="E3" i="7"/>
  <c r="D12" i="1" s="1"/>
  <c r="F12" i="1" s="1"/>
  <c r="B3" i="7"/>
  <c r="I2" i="7"/>
  <c r="H2" i="7"/>
  <c r="E2" i="7"/>
  <c r="D11" i="1" s="1"/>
  <c r="F11" i="1" s="1"/>
  <c r="B2" i="7"/>
  <c r="L21" i="3"/>
  <c r="M21" i="3" s="1"/>
  <c r="K21" i="3"/>
  <c r="I21" i="3"/>
  <c r="G21" i="3"/>
  <c r="D45" i="1" s="1"/>
  <c r="F21" i="3"/>
  <c r="L20" i="3"/>
  <c r="M20" i="3" s="1"/>
  <c r="I20" i="3"/>
  <c r="K20" i="3" s="1"/>
  <c r="G20" i="3"/>
  <c r="H20" i="3" s="1"/>
  <c r="E44" i="1" s="1"/>
  <c r="F20" i="3"/>
  <c r="L19" i="3"/>
  <c r="I19" i="3"/>
  <c r="G19" i="3"/>
  <c r="H19" i="3" s="1"/>
  <c r="E43" i="1" s="1"/>
  <c r="F19" i="3"/>
  <c r="L18" i="3"/>
  <c r="M18" i="3" s="1"/>
  <c r="K18" i="3"/>
  <c r="I18" i="3"/>
  <c r="G18" i="3"/>
  <c r="F18" i="3"/>
  <c r="L17" i="3"/>
  <c r="M17" i="3" s="1"/>
  <c r="I17" i="3"/>
  <c r="K17" i="3" s="1"/>
  <c r="G17" i="3"/>
  <c r="F17" i="3"/>
  <c r="L16" i="3"/>
  <c r="M16" i="3" s="1"/>
  <c r="I16" i="3"/>
  <c r="K16" i="3" s="1"/>
  <c r="G16" i="3"/>
  <c r="D40" i="1" s="1"/>
  <c r="F16" i="3"/>
  <c r="L15" i="3"/>
  <c r="M15" i="3" s="1"/>
  <c r="K15" i="3"/>
  <c r="I15" i="3"/>
  <c r="G15" i="3"/>
  <c r="F15" i="3"/>
  <c r="L14" i="3"/>
  <c r="M14" i="3" s="1"/>
  <c r="I14" i="3"/>
  <c r="K14" i="3" s="1"/>
  <c r="G14" i="3"/>
  <c r="D38" i="1" s="1"/>
  <c r="F14" i="3"/>
  <c r="L13" i="3"/>
  <c r="I13" i="3"/>
  <c r="M13" i="3" s="1"/>
  <c r="G13" i="3"/>
  <c r="D37" i="1" s="1"/>
  <c r="F13" i="3"/>
  <c r="L12" i="3"/>
  <c r="M12" i="3" s="1"/>
  <c r="K12" i="3"/>
  <c r="I12" i="3"/>
  <c r="G12" i="3"/>
  <c r="H12" i="3" s="1"/>
  <c r="E36" i="1" s="1"/>
  <c r="F12" i="3"/>
  <c r="L11" i="3"/>
  <c r="M11" i="3" s="1"/>
  <c r="K11" i="3"/>
  <c r="I11" i="3"/>
  <c r="G11" i="3"/>
  <c r="H11" i="3" s="1"/>
  <c r="E35" i="1" s="1"/>
  <c r="F11" i="3"/>
  <c r="L10" i="3"/>
  <c r="M10" i="3" s="1"/>
  <c r="K10" i="3"/>
  <c r="I10" i="3"/>
  <c r="G10" i="3"/>
  <c r="D34" i="1" s="1"/>
  <c r="F10" i="3"/>
  <c r="C34" i="1" s="1"/>
  <c r="L9" i="3"/>
  <c r="M9" i="3" s="1"/>
  <c r="K9" i="3"/>
  <c r="I9" i="3"/>
  <c r="G9" i="3"/>
  <c r="D33" i="1" s="1"/>
  <c r="F9" i="3"/>
  <c r="L8" i="3"/>
  <c r="M8" i="3" s="1"/>
  <c r="I8" i="3"/>
  <c r="K8" i="3" s="1"/>
  <c r="G8" i="3"/>
  <c r="H8" i="3" s="1"/>
  <c r="E32" i="1" s="1"/>
  <c r="F8" i="3"/>
  <c r="L7" i="3"/>
  <c r="I7" i="3"/>
  <c r="G7" i="3"/>
  <c r="H7" i="3" s="1"/>
  <c r="E31" i="1" s="1"/>
  <c r="F7" i="3"/>
  <c r="L6" i="3"/>
  <c r="M6" i="3" s="1"/>
  <c r="K6" i="3"/>
  <c r="I6" i="3"/>
  <c r="G6" i="3"/>
  <c r="F6" i="3"/>
  <c r="Q212" i="2"/>
  <c r="P212" i="2"/>
  <c r="Q211" i="2"/>
  <c r="P211" i="2"/>
  <c r="Q210" i="2"/>
  <c r="P210" i="2"/>
  <c r="Q209" i="2"/>
  <c r="P209" i="2"/>
  <c r="Q208" i="2"/>
  <c r="P208" i="2"/>
  <c r="Q207" i="2"/>
  <c r="P207" i="2"/>
  <c r="Q206" i="2"/>
  <c r="P206" i="2"/>
  <c r="Q205" i="2"/>
  <c r="P205" i="2"/>
  <c r="Q204" i="2"/>
  <c r="P204" i="2"/>
  <c r="Q203" i="2"/>
  <c r="P203" i="2"/>
  <c r="Q202" i="2"/>
  <c r="P202" i="2"/>
  <c r="Q201" i="2"/>
  <c r="P201" i="2"/>
  <c r="Q200" i="2"/>
  <c r="P200" i="2"/>
  <c r="Q199" i="2"/>
  <c r="P199" i="2"/>
  <c r="Q198" i="2"/>
  <c r="P198" i="2"/>
  <c r="Q197" i="2"/>
  <c r="P197" i="2"/>
  <c r="Q196" i="2"/>
  <c r="P196" i="2"/>
  <c r="Q195" i="2"/>
  <c r="P195" i="2"/>
  <c r="Q194" i="2"/>
  <c r="P194" i="2"/>
  <c r="Q193" i="2"/>
  <c r="P193" i="2"/>
  <c r="Q192" i="2"/>
  <c r="P192" i="2"/>
  <c r="Q191" i="2"/>
  <c r="P191" i="2"/>
  <c r="Q190" i="2"/>
  <c r="P190" i="2"/>
  <c r="Q189" i="2"/>
  <c r="P189" i="2"/>
  <c r="Q188" i="2"/>
  <c r="P188" i="2"/>
  <c r="Q187" i="2"/>
  <c r="P187" i="2"/>
  <c r="Q186" i="2"/>
  <c r="P186" i="2"/>
  <c r="Q185" i="2"/>
  <c r="P185" i="2"/>
  <c r="Q184" i="2"/>
  <c r="P184" i="2"/>
  <c r="Q183" i="2"/>
  <c r="P183" i="2"/>
  <c r="Q182" i="2"/>
  <c r="P182" i="2"/>
  <c r="Q181" i="2"/>
  <c r="P181" i="2"/>
  <c r="Q180" i="2"/>
  <c r="P180" i="2"/>
  <c r="Q179" i="2"/>
  <c r="P179" i="2"/>
  <c r="Q178" i="2"/>
  <c r="P178" i="2"/>
  <c r="Q177" i="2"/>
  <c r="P177" i="2"/>
  <c r="Q176" i="2"/>
  <c r="P176" i="2"/>
  <c r="Q175" i="2"/>
  <c r="P175" i="2"/>
  <c r="Q174" i="2"/>
  <c r="P174" i="2"/>
  <c r="Q173" i="2"/>
  <c r="P173" i="2"/>
  <c r="Q172" i="2"/>
  <c r="P172" i="2"/>
  <c r="Q171" i="2"/>
  <c r="P171" i="2"/>
  <c r="Q170" i="2"/>
  <c r="P170" i="2"/>
  <c r="Q169" i="2"/>
  <c r="P169" i="2"/>
  <c r="Q168" i="2"/>
  <c r="P168" i="2"/>
  <c r="Q167" i="2"/>
  <c r="P167" i="2"/>
  <c r="Q166" i="2"/>
  <c r="P166" i="2"/>
  <c r="Q165" i="2"/>
  <c r="P165" i="2"/>
  <c r="Q164" i="2"/>
  <c r="P164" i="2"/>
  <c r="Q163" i="2"/>
  <c r="P163" i="2"/>
  <c r="Q162" i="2"/>
  <c r="P162" i="2"/>
  <c r="Q161" i="2"/>
  <c r="P161" i="2"/>
  <c r="Q160" i="2"/>
  <c r="P160" i="2"/>
  <c r="Q159" i="2"/>
  <c r="P159" i="2"/>
  <c r="Q158" i="2"/>
  <c r="P158" i="2"/>
  <c r="Q157" i="2"/>
  <c r="P157" i="2"/>
  <c r="Q156" i="2"/>
  <c r="P156" i="2"/>
  <c r="Q155" i="2"/>
  <c r="P155" i="2"/>
  <c r="Q154" i="2"/>
  <c r="P154" i="2"/>
  <c r="Q153" i="2"/>
  <c r="P153" i="2"/>
  <c r="Q152" i="2"/>
  <c r="P152" i="2"/>
  <c r="Q151" i="2"/>
  <c r="P151" i="2"/>
  <c r="Q150" i="2"/>
  <c r="P150" i="2"/>
  <c r="Q149" i="2"/>
  <c r="P149" i="2"/>
  <c r="Q148" i="2"/>
  <c r="P148" i="2"/>
  <c r="Q147" i="2"/>
  <c r="P147" i="2"/>
  <c r="Q146" i="2"/>
  <c r="P146" i="2"/>
  <c r="Q145" i="2"/>
  <c r="P145" i="2"/>
  <c r="Q144" i="2"/>
  <c r="P144" i="2"/>
  <c r="Q143" i="2"/>
  <c r="P143" i="2"/>
  <c r="Q142" i="2"/>
  <c r="P142" i="2"/>
  <c r="Q141" i="2"/>
  <c r="P141" i="2"/>
  <c r="Q140" i="2"/>
  <c r="P140" i="2"/>
  <c r="Q139" i="2"/>
  <c r="P139" i="2"/>
  <c r="Q138" i="2"/>
  <c r="P138" i="2"/>
  <c r="Q137" i="2"/>
  <c r="P137" i="2"/>
  <c r="Q136" i="2"/>
  <c r="P136" i="2"/>
  <c r="Q135" i="2"/>
  <c r="P135" i="2"/>
  <c r="Q134" i="2"/>
  <c r="P134" i="2"/>
  <c r="Q133" i="2"/>
  <c r="P133" i="2"/>
  <c r="Q132" i="2"/>
  <c r="P132" i="2"/>
  <c r="Q131" i="2"/>
  <c r="P131" i="2"/>
  <c r="Q130" i="2"/>
  <c r="P130" i="2"/>
  <c r="Q129" i="2"/>
  <c r="P129" i="2"/>
  <c r="Q128" i="2"/>
  <c r="P128" i="2"/>
  <c r="Q127" i="2"/>
  <c r="P127" i="2"/>
  <c r="Q126" i="2"/>
  <c r="P126" i="2"/>
  <c r="Q125" i="2"/>
  <c r="P125" i="2"/>
  <c r="Q124" i="2"/>
  <c r="P124" i="2"/>
  <c r="Q123" i="2"/>
  <c r="P123" i="2"/>
  <c r="Q122" i="2"/>
  <c r="P122" i="2"/>
  <c r="Q121" i="2"/>
  <c r="P121" i="2"/>
  <c r="Q120" i="2"/>
  <c r="P120" i="2"/>
  <c r="Q119" i="2"/>
  <c r="P119" i="2"/>
  <c r="Q118" i="2"/>
  <c r="P118" i="2"/>
  <c r="Q117" i="2"/>
  <c r="P117" i="2"/>
  <c r="Q116" i="2"/>
  <c r="P116" i="2"/>
  <c r="Q115" i="2"/>
  <c r="P115" i="2"/>
  <c r="Q114" i="2"/>
  <c r="P114" i="2"/>
  <c r="Q113" i="2"/>
  <c r="P113" i="2"/>
  <c r="Q112" i="2"/>
  <c r="P112" i="2"/>
  <c r="Q111" i="2"/>
  <c r="P111" i="2"/>
  <c r="Q110" i="2"/>
  <c r="P110" i="2"/>
  <c r="Q109" i="2"/>
  <c r="P109" i="2"/>
  <c r="Q108" i="2"/>
  <c r="P108" i="2"/>
  <c r="Q107" i="2"/>
  <c r="P107" i="2"/>
  <c r="Q106" i="2"/>
  <c r="P106" i="2"/>
  <c r="Q105" i="2"/>
  <c r="P105" i="2"/>
  <c r="Q104" i="2"/>
  <c r="P104" i="2"/>
  <c r="Q103" i="2"/>
  <c r="P103" i="2"/>
  <c r="Q102" i="2"/>
  <c r="P102" i="2"/>
  <c r="Q101" i="2"/>
  <c r="P101" i="2"/>
  <c r="Q100" i="2"/>
  <c r="P100" i="2"/>
  <c r="Q99" i="2"/>
  <c r="P99" i="2"/>
  <c r="Q98" i="2"/>
  <c r="P98" i="2"/>
  <c r="Q97" i="2"/>
  <c r="P97" i="2"/>
  <c r="Q96" i="2"/>
  <c r="P96" i="2"/>
  <c r="Q95" i="2"/>
  <c r="P95" i="2"/>
  <c r="Q94" i="2"/>
  <c r="P94" i="2"/>
  <c r="Q93" i="2"/>
  <c r="P93" i="2"/>
  <c r="Q92" i="2"/>
  <c r="P92" i="2"/>
  <c r="Q91" i="2"/>
  <c r="P91" i="2"/>
  <c r="Q90" i="2"/>
  <c r="P90" i="2"/>
  <c r="Q89" i="2"/>
  <c r="P89" i="2"/>
  <c r="Q88" i="2"/>
  <c r="P88" i="2"/>
  <c r="Q87" i="2"/>
  <c r="P87" i="2"/>
  <c r="Q86" i="2"/>
  <c r="P86" i="2"/>
  <c r="Q85" i="2"/>
  <c r="P85" i="2"/>
  <c r="Q84" i="2"/>
  <c r="P84" i="2"/>
  <c r="Q83" i="2"/>
  <c r="P83" i="2"/>
  <c r="Q82" i="2"/>
  <c r="P82" i="2"/>
  <c r="Q81" i="2"/>
  <c r="P81" i="2"/>
  <c r="Q80" i="2"/>
  <c r="P80" i="2"/>
  <c r="Q79" i="2"/>
  <c r="P79" i="2"/>
  <c r="Q78" i="2"/>
  <c r="P78" i="2"/>
  <c r="Q77" i="2"/>
  <c r="P77" i="2"/>
  <c r="Q76" i="2"/>
  <c r="P76" i="2"/>
  <c r="Q75" i="2"/>
  <c r="P75" i="2"/>
  <c r="Q74" i="2"/>
  <c r="P74" i="2"/>
  <c r="Q73" i="2"/>
  <c r="P73" i="2"/>
  <c r="Q72" i="2"/>
  <c r="P72" i="2"/>
  <c r="Q71" i="2"/>
  <c r="P71" i="2"/>
  <c r="Q70" i="2"/>
  <c r="P70" i="2"/>
  <c r="Q69" i="2"/>
  <c r="P69" i="2"/>
  <c r="Q68" i="2"/>
  <c r="P68" i="2"/>
  <c r="Q67" i="2"/>
  <c r="P67" i="2"/>
  <c r="Q66" i="2"/>
  <c r="P66" i="2"/>
  <c r="Q65" i="2"/>
  <c r="P65" i="2"/>
  <c r="Q64" i="2"/>
  <c r="P64" i="2"/>
  <c r="Q63" i="2"/>
  <c r="P63" i="2"/>
  <c r="Q62" i="2"/>
  <c r="P62" i="2"/>
  <c r="Q61" i="2"/>
  <c r="P61" i="2"/>
  <c r="Q60" i="2"/>
  <c r="P60" i="2"/>
  <c r="Q59" i="2"/>
  <c r="P59" i="2"/>
  <c r="Q58" i="2"/>
  <c r="P58" i="2"/>
  <c r="Q57" i="2"/>
  <c r="P57" i="2"/>
  <c r="Q56" i="2"/>
  <c r="P56" i="2"/>
  <c r="Q55" i="2"/>
  <c r="P55" i="2"/>
  <c r="Q54" i="2"/>
  <c r="P54" i="2"/>
  <c r="Q53" i="2"/>
  <c r="P53" i="2"/>
  <c r="Q52" i="2"/>
  <c r="P52" i="2"/>
  <c r="Q51" i="2"/>
  <c r="P51" i="2"/>
  <c r="Q50" i="2"/>
  <c r="P50" i="2"/>
  <c r="Q49" i="2"/>
  <c r="P49" i="2"/>
  <c r="Q48" i="2"/>
  <c r="P48" i="2"/>
  <c r="Q47" i="2"/>
  <c r="P47" i="2"/>
  <c r="Q46" i="2"/>
  <c r="P46" i="2"/>
  <c r="Q45" i="2"/>
  <c r="P45" i="2"/>
  <c r="Q44" i="2"/>
  <c r="P44" i="2"/>
  <c r="Q43" i="2"/>
  <c r="P43" i="2"/>
  <c r="Q42" i="2"/>
  <c r="P42" i="2"/>
  <c r="Q41" i="2"/>
  <c r="P41" i="2"/>
  <c r="Q40" i="2"/>
  <c r="P40" i="2"/>
  <c r="Q39" i="2"/>
  <c r="P39" i="2"/>
  <c r="Q38" i="2"/>
  <c r="P38" i="2"/>
  <c r="Q37" i="2"/>
  <c r="P37" i="2"/>
  <c r="Q36" i="2"/>
  <c r="P36" i="2"/>
  <c r="Q35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Q28" i="2"/>
  <c r="P28" i="2"/>
  <c r="Q27" i="2"/>
  <c r="P27" i="2"/>
  <c r="Q26" i="2"/>
  <c r="P26" i="2"/>
  <c r="Q25" i="2"/>
  <c r="P25" i="2"/>
  <c r="Q24" i="2"/>
  <c r="P24" i="2"/>
  <c r="Q23" i="2"/>
  <c r="P23" i="2"/>
  <c r="Q22" i="2"/>
  <c r="P22" i="2"/>
  <c r="Q21" i="2"/>
  <c r="P21" i="2"/>
  <c r="Q20" i="2"/>
  <c r="P20" i="2"/>
  <c r="Q19" i="2"/>
  <c r="P19" i="2"/>
  <c r="Q18" i="2"/>
  <c r="P18" i="2"/>
  <c r="Q17" i="2"/>
  <c r="P17" i="2"/>
  <c r="Q16" i="2"/>
  <c r="P16" i="2"/>
  <c r="Q15" i="2"/>
  <c r="P15" i="2"/>
  <c r="Q14" i="2"/>
  <c r="P14" i="2"/>
  <c r="Q13" i="2"/>
  <c r="P13" i="2"/>
  <c r="Q12" i="2"/>
  <c r="P12" i="2"/>
  <c r="Q11" i="2"/>
  <c r="P11" i="2"/>
  <c r="Q10" i="2"/>
  <c r="P10" i="2"/>
  <c r="Q9" i="2"/>
  <c r="P9" i="2"/>
  <c r="Q8" i="2"/>
  <c r="P8" i="2"/>
  <c r="Q7" i="2"/>
  <c r="P7" i="2"/>
  <c r="Q6" i="2"/>
  <c r="P6" i="2"/>
  <c r="F45" i="1"/>
  <c r="C45" i="1"/>
  <c r="B45" i="1"/>
  <c r="A45" i="1"/>
  <c r="F44" i="1"/>
  <c r="D44" i="1"/>
  <c r="C44" i="1"/>
  <c r="B44" i="1"/>
  <c r="A44" i="1"/>
  <c r="H43" i="1"/>
  <c r="F43" i="1"/>
  <c r="C43" i="1"/>
  <c r="B43" i="1"/>
  <c r="A43" i="1"/>
  <c r="F42" i="1"/>
  <c r="D42" i="1"/>
  <c r="C42" i="1"/>
  <c r="B42" i="1"/>
  <c r="A42" i="1"/>
  <c r="F41" i="1"/>
  <c r="D41" i="1"/>
  <c r="C41" i="1"/>
  <c r="B41" i="1"/>
  <c r="A41" i="1"/>
  <c r="F40" i="1"/>
  <c r="C40" i="1"/>
  <c r="B40" i="1"/>
  <c r="A40" i="1"/>
  <c r="F39" i="1"/>
  <c r="D39" i="1"/>
  <c r="C39" i="1"/>
  <c r="B39" i="1"/>
  <c r="A39" i="1"/>
  <c r="F38" i="1"/>
  <c r="C38" i="1"/>
  <c r="B38" i="1"/>
  <c r="A38" i="1"/>
  <c r="F37" i="1"/>
  <c r="C37" i="1"/>
  <c r="B37" i="1"/>
  <c r="A37" i="1"/>
  <c r="F36" i="1"/>
  <c r="D36" i="1"/>
  <c r="C36" i="1"/>
  <c r="B36" i="1"/>
  <c r="A36" i="1"/>
  <c r="F35" i="1"/>
  <c r="D35" i="1"/>
  <c r="C35" i="1"/>
  <c r="B35" i="1"/>
  <c r="A35" i="1"/>
  <c r="F34" i="1"/>
  <c r="B34" i="1"/>
  <c r="A34" i="1"/>
  <c r="F33" i="1"/>
  <c r="C33" i="1"/>
  <c r="B33" i="1"/>
  <c r="A33" i="1"/>
  <c r="F32" i="1"/>
  <c r="D32" i="1"/>
  <c r="C32" i="1"/>
  <c r="B32" i="1"/>
  <c r="A32" i="1"/>
  <c r="F31" i="1"/>
  <c r="D31" i="1"/>
  <c r="C31" i="1"/>
  <c r="B31" i="1"/>
  <c r="A31" i="1"/>
  <c r="F30" i="1"/>
  <c r="D30" i="1"/>
  <c r="C30" i="1"/>
  <c r="B30" i="1"/>
  <c r="A30" i="1"/>
  <c r="E18" i="1"/>
  <c r="D18" i="1"/>
  <c r="F18" i="1" s="1"/>
  <c r="C18" i="1"/>
  <c r="B18" i="1"/>
  <c r="A18" i="1"/>
  <c r="E17" i="1"/>
  <c r="C17" i="1"/>
  <c r="A17" i="1"/>
  <c r="B17" i="1" s="1"/>
  <c r="E16" i="1"/>
  <c r="D16" i="1"/>
  <c r="F16" i="1" s="1"/>
  <c r="C16" i="1"/>
  <c r="B16" i="1"/>
  <c r="A16" i="1"/>
  <c r="E15" i="1"/>
  <c r="D15" i="1"/>
  <c r="F15" i="1" s="1"/>
  <c r="C15" i="1"/>
  <c r="A15" i="1"/>
  <c r="B15" i="1" s="1"/>
  <c r="E14" i="1"/>
  <c r="D14" i="1"/>
  <c r="F14" i="1" s="1"/>
  <c r="C14" i="1"/>
  <c r="B14" i="1"/>
  <c r="A14" i="1"/>
  <c r="E13" i="1"/>
  <c r="D13" i="1"/>
  <c r="F13" i="1" s="1"/>
  <c r="C13" i="1"/>
  <c r="A13" i="1"/>
  <c r="B13" i="1" s="1"/>
  <c r="E12" i="1"/>
  <c r="C12" i="1"/>
  <c r="B12" i="1"/>
  <c r="A12" i="1"/>
  <c r="E11" i="1"/>
  <c r="C11" i="1"/>
  <c r="A11" i="1"/>
  <c r="B11" i="1" s="1"/>
  <c r="G5" i="1"/>
  <c r="D5" i="1"/>
  <c r="A5" i="1"/>
  <c r="M19" i="3" l="1"/>
  <c r="M7" i="3"/>
  <c r="H17" i="3"/>
  <c r="E41" i="1" s="1"/>
  <c r="H15" i="3"/>
  <c r="E39" i="1" s="1"/>
  <c r="H18" i="3"/>
  <c r="E42" i="1" s="1"/>
  <c r="D43" i="1"/>
  <c r="H14" i="3"/>
  <c r="E38" i="1" s="1"/>
  <c r="H6" i="3"/>
  <c r="E30" i="1" s="1"/>
  <c r="H9" i="3"/>
  <c r="E33" i="1" s="1"/>
  <c r="H13" i="3"/>
  <c r="E37" i="1" s="1"/>
  <c r="H16" i="3"/>
  <c r="E40" i="1" s="1"/>
  <c r="H21" i="3"/>
  <c r="E45" i="1" s="1"/>
  <c r="J5" i="1"/>
  <c r="K13" i="3"/>
  <c r="H10" i="3"/>
  <c r="E34" i="1" s="1"/>
  <c r="K7" i="3"/>
  <c r="K19" i="3"/>
</calcChain>
</file>

<file path=xl/sharedStrings.xml><?xml version="1.0" encoding="utf-8"?>
<sst xmlns="http://schemas.openxmlformats.org/spreadsheetml/2006/main" count="2305" uniqueCount="982">
  <si>
    <t>ULTRAS — PROJECT DASHBOARD</t>
  </si>
  <si>
    <t>16-week portfolio MVP beginning 18 August 2026. Update the Task Tracker and this dashboard recalculates.</t>
  </si>
  <si>
    <t>Progress by phase</t>
  </si>
  <si>
    <t>Task status</t>
  </si>
  <si>
    <t>Phase</t>
  </si>
  <si>
    <t>Tasks</t>
  </si>
  <si>
    <t>Complete</t>
  </si>
  <si>
    <t>Progress</t>
  </si>
  <si>
    <t>Est. Hours</t>
  </si>
  <si>
    <t>State</t>
  </si>
  <si>
    <t>Weekly workload and completion</t>
  </si>
  <si>
    <t>Week</t>
  </si>
  <si>
    <t>Focus</t>
  </si>
  <si>
    <t>Planned Tasks</t>
  </si>
  <si>
    <t>Planned Hours</t>
  </si>
  <si>
    <t>Current operating rule</t>
  </si>
  <si>
    <t>Complete or consciously reschedule unfinished critical P0 work before starting P1/P2 features.</t>
  </si>
  <si>
    <t>Planned completion</t>
  </si>
  <si>
    <t>Sunday 6 December 2026
One competition • secure social MVP • explainable predictions</t>
  </si>
  <si>
    <t>ULTRAS — TASK TRACKER</t>
  </si>
  <si>
    <t>Update Status, Progress %, Actual Hours, Evidence/Link and Notes. Dashboard and weekly summaries calculate automatically.</t>
  </si>
  <si>
    <t>Task ID</t>
  </si>
  <si>
    <t>Category</t>
  </si>
  <si>
    <t>Task</t>
  </si>
  <si>
    <t>Completion Criteria</t>
  </si>
  <si>
    <t>Start Date</t>
  </si>
  <si>
    <t>Due Date</t>
  </si>
  <si>
    <t>Priority</t>
  </si>
  <si>
    <t>Status</t>
  </si>
  <si>
    <t>Progress %</t>
  </si>
  <si>
    <t>Actual Hours</t>
  </si>
  <si>
    <t>Dependency</t>
  </si>
  <si>
    <t>Owner</t>
  </si>
  <si>
    <t>Days Remaining</t>
  </si>
  <si>
    <t>Health</t>
  </si>
  <si>
    <t>Evidence / Link</t>
  </si>
  <si>
    <t>Notes</t>
  </si>
  <si>
    <t>W01-01</t>
  </si>
  <si>
    <t>Discovery &amp; Scope</t>
  </si>
  <si>
    <t>Project</t>
  </si>
  <si>
    <t>Create the ULTRAS project repository</t>
  </si>
  <si>
    <t>Repository exists with clear name, description and default branch</t>
  </si>
  <si>
    <t>Critical</t>
  </si>
  <si>
    <t>Not Started</t>
  </si>
  <si>
    <t>Finlay</t>
  </si>
  <si>
    <t>W01-02</t>
  </si>
  <si>
    <t>Documentation</t>
  </si>
  <si>
    <t>Create README and initial folder structure</t>
  </si>
  <si>
    <t>README, docs, frontend, backend and ml locations are explained</t>
  </si>
  <si>
    <t>High</t>
  </si>
  <si>
    <t>W01-03</t>
  </si>
  <si>
    <t>Product</t>
  </si>
  <si>
    <t>Write the one-page project brief</t>
  </si>
  <si>
    <t>Problem, audience, outcome, scope and success criteria fit on one page</t>
  </si>
  <si>
    <t>W01-04</t>
  </si>
  <si>
    <t>Define primary and secondary users</t>
  </si>
  <si>
    <t>At least three evidence-oriented user descriptions are documented</t>
  </si>
  <si>
    <t>W01-05</t>
  </si>
  <si>
    <t>Separate P0, P1 and P2 features</t>
  </si>
  <si>
    <t>Every blueprint feature is assigned a release priority</t>
  </si>
  <si>
    <t>W01-06</t>
  </si>
  <si>
    <t>Write the explicit out-of-scope list</t>
  </si>
  <si>
    <t>DMs, media uploads and real-money resale are clearly excluded from P0</t>
  </si>
  <si>
    <t>W01-07</t>
  </si>
  <si>
    <t>Create decision log and research tracker</t>
  </si>
  <si>
    <t>Reusable templates exist for decisions, evidence and open questions</t>
  </si>
  <si>
    <t>W01-08</t>
  </si>
  <si>
    <t>Create the 16-week project board</t>
  </si>
  <si>
    <t>Tasks are visible by week, status, priority and dependency</t>
  </si>
  <si>
    <t>W01-09</t>
  </si>
  <si>
    <t>Research</t>
  </si>
  <si>
    <t>Define football-data provider comparison criteria</t>
  </si>
  <si>
    <t>Coverage, latency, history, players, limits, cost and licence are included</t>
  </si>
  <si>
    <t>W01-10</t>
  </si>
  <si>
    <t>Shortlist and compare football-data providers</t>
  </si>
  <si>
    <t>At least three providers are scored with evidence and URLs</t>
  </si>
  <si>
    <t>W01-11</t>
  </si>
  <si>
    <t>Complete competitor experience audit</t>
  </si>
  <si>
    <t>Live scores, feeds, discussions, alerts, safety and links are compared</t>
  </si>
  <si>
    <t>W01-12</t>
  </si>
  <si>
    <t>Write supporter interview questions</t>
  </si>
  <si>
    <t>Questions cover match habits, alerts, discussion, trust and safety</t>
  </si>
  <si>
    <t>Medium</t>
  </si>
  <si>
    <t>W01-13</t>
  </si>
  <si>
    <t>Research safety, privacy and ticket risks</t>
  </si>
  <si>
    <t>Initial findings and matters requiring authoritative review are recorded</t>
  </si>
  <si>
    <t>W01-14</t>
  </si>
  <si>
    <t>Security</t>
  </si>
  <si>
    <t>Create initial product risk register</t>
  </si>
  <si>
    <t>Risk, impact, likelihood, mitigation and owner are recorded</t>
  </si>
  <si>
    <t>W01-15</t>
  </si>
  <si>
    <t>Draft the Product Requirements Document</t>
  </si>
  <si>
    <t>P0 requirements are testable and mapped to user value</t>
  </si>
  <si>
    <t>W01-16</t>
  </si>
  <si>
    <t>Write P0 user stories and acceptance criteria</t>
  </si>
  <si>
    <t>Every P0 journey has testable acceptance conditions</t>
  </si>
  <si>
    <t>W01-17</t>
  </si>
  <si>
    <t>Define portfolio definition of done</t>
  </si>
  <si>
    <t>Deployment, tests, docs, ML evidence and demo requirements are explicit</t>
  </si>
  <si>
    <t>W02-01</t>
  </si>
  <si>
    <t>UX &amp; Product Design</t>
  </si>
  <si>
    <t>UX</t>
  </si>
  <si>
    <t>Create the complete sitemap</t>
  </si>
  <si>
    <t>Every P0 page is placed in a clear hierarchy</t>
  </si>
  <si>
    <t>W02-02</t>
  </si>
  <si>
    <t>Define main mobile and desktop navigation</t>
  </si>
  <si>
    <t>Home, Matches, Explore, Notifications and Profile are covered</t>
  </si>
  <si>
    <t>W02-03</t>
  </si>
  <si>
    <t>Design registration and onboarding flow</t>
  </si>
  <si>
    <t>Registration, verification, favourites and first-feed state are shown</t>
  </si>
  <si>
    <t>W02-04</t>
  </si>
  <si>
    <t>Design follow and notification flows</t>
  </si>
  <si>
    <t>Team follow and granular alert preferences have success/error states</t>
  </si>
  <si>
    <t>W02-05</t>
  </si>
  <si>
    <t>Design match discussion and reporting flows</t>
  </si>
  <si>
    <t>Posting, reporting, blocking and moderation feedback are shown</t>
  </si>
  <si>
    <t>W02-06</t>
  </si>
  <si>
    <t>Design official page claim flow</t>
  </si>
  <si>
    <t>Request, evidence, review, approval and rejection states are shown</t>
  </si>
  <si>
    <t>W02-07</t>
  </si>
  <si>
    <t>Create low-fidelity Home feed wireframes</t>
  </si>
  <si>
    <t>For You, Following, empty and provider-error states are included</t>
  </si>
  <si>
    <t>W02-08</t>
  </si>
  <si>
    <t>Create low-fidelity Match Centre wireframes</t>
  </si>
  <si>
    <t>Upcoming, live, half-time, final and postponed states are included</t>
  </si>
  <si>
    <t>W02-09</t>
  </si>
  <si>
    <t>Create team and player page wireframes</t>
  </si>
  <si>
    <t>Information and community content are visually separated</t>
  </si>
  <si>
    <t>W02-10</t>
  </si>
  <si>
    <t>Create profile, notifications and moderator wireframes</t>
  </si>
  <si>
    <t>Core account and safety screens are represented</t>
  </si>
  <si>
    <t>W02-11</t>
  </si>
  <si>
    <t>UI</t>
  </si>
  <si>
    <t>Define ULTRAS visual design tokens</t>
  </si>
  <si>
    <t>Colour, type, spacing, radius, elevation and states are documented</t>
  </si>
  <si>
    <t>W02-12</t>
  </si>
  <si>
    <t>Design reusable interface components</t>
  </si>
  <si>
    <t>Match cards, posts, forms, tables, buttons and status states exist</t>
  </si>
  <si>
    <t>W02-13</t>
  </si>
  <si>
    <t>Create high-fidelity core screens</t>
  </si>
  <si>
    <t>Home, match, team, player, profile and moderation screens are complete</t>
  </si>
  <si>
    <t>W02-14</t>
  </si>
  <si>
    <t>Accessibility</t>
  </si>
  <si>
    <t>Review designs for accessibility</t>
  </si>
  <si>
    <t>Contrast, focus, touch targets, labels and live updates are covered</t>
  </si>
  <si>
    <t>W03-01</t>
  </si>
  <si>
    <t>Technical Design</t>
  </si>
  <si>
    <t>Data</t>
  </si>
  <si>
    <t>Create the database ERD</t>
  </si>
  <si>
    <t>Football, identity, social, safety, notifications and ML domains are represented</t>
  </si>
  <si>
    <t>W03-02</t>
  </si>
  <si>
    <t>Create data dictionary</t>
  </si>
  <si>
    <t>Key fields, types, constraints, sources and retention are defined</t>
  </si>
  <si>
    <t>W03-03</t>
  </si>
  <si>
    <t>Design historical player-team membership</t>
  </si>
  <si>
    <t>Transfers cannot rewrite historical appearances or line-ups</t>
  </si>
  <si>
    <t>W03-04</t>
  </si>
  <si>
    <t>Privacy</t>
  </si>
  <si>
    <t>Define content lifecycle and retention schedule</t>
  </si>
  <si>
    <t>Match chat, posts, reports, audit and account data have states</t>
  </si>
  <si>
    <t>W03-05</t>
  </si>
  <si>
    <t>Architecture</t>
  </si>
  <si>
    <t>Create system architecture diagram</t>
  </si>
  <si>
    <t>Frontend, API, database, jobs, provider and ML boundaries are clear</t>
  </si>
  <si>
    <t>W03-06</t>
  </si>
  <si>
    <t>Design football-data ingestion flow</t>
  </si>
  <si>
    <t>Validation, mapping, idempotency, corrections and freshness are covered</t>
  </si>
  <si>
    <t>W03-07</t>
  </si>
  <si>
    <t>Design notification pipeline</t>
  </si>
  <si>
    <t>Events, preferences, deduplication, retries and delivery logs are covered</t>
  </si>
  <si>
    <t>W03-08</t>
  </si>
  <si>
    <t>API</t>
  </si>
  <si>
    <t>Draft API specification</t>
  </si>
  <si>
    <t>P0 routes include inputs, outputs, permissions, errors and limits</t>
  </si>
  <si>
    <t>W03-09</t>
  </si>
  <si>
    <t>Design authentication and session model</t>
  </si>
  <si>
    <t>Registration, verification, recovery, cookies and sessions are specified</t>
  </si>
  <si>
    <t>W03-10</t>
  </si>
  <si>
    <t>Create role and permission matrix</t>
  </si>
  <si>
    <t>Users, verified editors, moderators, admins and workers are separated</t>
  </si>
  <si>
    <t>W03-11</t>
  </si>
  <si>
    <t>Create football-specific threat model</t>
  </si>
  <si>
    <t>Assets, actors, abuse cases, controls and residual risks are documented</t>
  </si>
  <si>
    <t>W03-12</t>
  </si>
  <si>
    <t>Safety</t>
  </si>
  <si>
    <t>Design moderation and appeal workflow</t>
  </si>
  <si>
    <t>Reports, cases, actions, evidence, audit and appeals are linked</t>
  </si>
  <si>
    <t>W03-13</t>
  </si>
  <si>
    <t>ML</t>
  </si>
  <si>
    <t>Write ML experiment specification</t>
  </si>
  <si>
    <t>Target, features, timestamps, splits, metrics and limitations are defined</t>
  </si>
  <si>
    <t>W03-14</t>
  </si>
  <si>
    <t>Testing</t>
  </si>
  <si>
    <t>Write initial testing strategy</t>
  </si>
  <si>
    <t>Unit, integration, contract, E2E, security, accessibility and ML tests are mapped</t>
  </si>
  <si>
    <t>W03-15</t>
  </si>
  <si>
    <t>Record initial architecture decisions</t>
  </si>
  <si>
    <t>Stack, database, live updates and deployment decisions have ADRs</t>
  </si>
  <si>
    <t>W04-01</t>
  </si>
  <si>
    <t>Foundation &amp; Data</t>
  </si>
  <si>
    <t>Engineering</t>
  </si>
  <si>
    <t>Initialise frontend and backend applications</t>
  </si>
  <si>
    <t>Both applications run locally with documented commands</t>
  </si>
  <si>
    <t>W04-02</t>
  </si>
  <si>
    <t>Configure TypeScript, formatting and linting</t>
  </si>
  <si>
    <t>Consistent checks run locally and in CI</t>
  </si>
  <si>
    <t>W04-03</t>
  </si>
  <si>
    <t>DevOps</t>
  </si>
  <si>
    <t>Create environment configuration strategy</t>
  </si>
  <si>
    <t>Local, test and production values are separated safely</t>
  </si>
  <si>
    <t>W04-04</t>
  </si>
  <si>
    <t>Create Docker development environment</t>
  </si>
  <si>
    <t>Application and dependencies start reproducibly</t>
  </si>
  <si>
    <t>W04-05</t>
  </si>
  <si>
    <t>Connect PostgreSQL and migration tooling</t>
  </si>
  <si>
    <t>Database connection and repeatable migrations work</t>
  </si>
  <si>
    <t>W04-06</t>
  </si>
  <si>
    <t>Create initial football and user migrations</t>
  </si>
  <si>
    <t>Competition, team, player, membership, fixture, event and user tables exist</t>
  </si>
  <si>
    <t>W04-07</t>
  </si>
  <si>
    <t>Create deterministic seed-data system</t>
  </si>
  <si>
    <t>Demo database can be rebuilt without private credentials</t>
  </si>
  <si>
    <t>W04-08</t>
  </si>
  <si>
    <t>Configure frontend, backend and database tests</t>
  </si>
  <si>
    <t>Test commands run successfully in a clean environment</t>
  </si>
  <si>
    <t>W04-09</t>
  </si>
  <si>
    <t>Create continuous-integration workflow</t>
  </si>
  <si>
    <t>Linting, tests and migrations run on every change</t>
  </si>
  <si>
    <t>W04-10</t>
  </si>
  <si>
    <t>Backend</t>
  </si>
  <si>
    <t>Implement validation and structured errors</t>
  </si>
  <si>
    <t>Invalid requests return consistent safe responses</t>
  </si>
  <si>
    <t>W04-11</t>
  </si>
  <si>
    <t>Observability</t>
  </si>
  <si>
    <t>Implement health checks and structured logging</t>
  </si>
  <si>
    <t>Service health and failures can be diagnosed</t>
  </si>
  <si>
    <t>W04-12</t>
  </si>
  <si>
    <t>Write reproducible setup guide</t>
  </si>
  <si>
    <t>A new developer can start the project from the README</t>
  </si>
  <si>
    <t>W05-01</t>
  </si>
  <si>
    <t>Select provider and initial competition</t>
  </si>
  <si>
    <t>Decision is supported by data completeness, licence and cost evidence</t>
  </si>
  <si>
    <t>W05-02</t>
  </si>
  <si>
    <t>Implement provider adapter boundary</t>
  </si>
  <si>
    <t>Provider-specific formats do not leak into domain services</t>
  </si>
  <si>
    <t>W05-03</t>
  </si>
  <si>
    <t>Implement external ID mappings</t>
  </si>
  <si>
    <t>Repeated imports resolve to stable internal entities</t>
  </si>
  <si>
    <t>W05-04</t>
  </si>
  <si>
    <t>Implement competition and season ingestion</t>
  </si>
  <si>
    <t>Selected competition and season import correctly</t>
  </si>
  <si>
    <t>W05-05</t>
  </si>
  <si>
    <t>Implement team, player and membership ingestion</t>
  </si>
  <si>
    <t>Squad relationships preserve effective dates</t>
  </si>
  <si>
    <t>W05-06</t>
  </si>
  <si>
    <t>Implement fixture, result and event ingestion</t>
  </si>
  <si>
    <t>Scheduled and completed matches import correctly</t>
  </si>
  <si>
    <t>W05-07</t>
  </si>
  <si>
    <t>Implement standings ingestion</t>
  </si>
  <si>
    <t>League table data maps to internal teams and season</t>
  </si>
  <si>
    <t>W05-08</t>
  </si>
  <si>
    <t>Jobs</t>
  </si>
  <si>
    <t>Create scheduled ingestion worker</t>
  </si>
  <si>
    <t>Refresh frequency respects provider limits</t>
  </si>
  <si>
    <t>W05-09</t>
  </si>
  <si>
    <t>Validate provider responses and missing fields</t>
  </si>
  <si>
    <t>Invalid records are rejected or quarantined with clear logs</t>
  </si>
  <si>
    <t>W05-10</t>
  </si>
  <si>
    <t>Reliability</t>
  </si>
  <si>
    <t>Implement idempotent updates and corrections</t>
  </si>
  <si>
    <t>Retries and corrected events do not create duplicates</t>
  </si>
  <si>
    <t>W05-11</t>
  </si>
  <si>
    <t>Add freshness and provider-outage handling</t>
  </si>
  <si>
    <t>Pages show last update and degrade without corrupting data</t>
  </si>
  <si>
    <t>W05-12</t>
  </si>
  <si>
    <t>Add provider contract and ingestion tests</t>
  </si>
  <si>
    <t>Recorded fixtures cover normal, missing, repeated and corrected data</t>
  </si>
  <si>
    <t>W06-01</t>
  </si>
  <si>
    <t>Football Core</t>
  </si>
  <si>
    <t>Frontend</t>
  </si>
  <si>
    <t>Build match list and date navigation</t>
  </si>
  <si>
    <t>Users can browse fixtures and results by date</t>
  </si>
  <si>
    <t>W06-02</t>
  </si>
  <si>
    <t>Build competition overview and fixtures</t>
  </si>
  <si>
    <t>Competition information and fixture groups are usable</t>
  </si>
  <si>
    <t>W06-03</t>
  </si>
  <si>
    <t>Build league table</t>
  </si>
  <si>
    <t>Positions, points, form and qualification states display correctly</t>
  </si>
  <si>
    <t>W06-04</t>
  </si>
  <si>
    <t>Build team overview page</t>
  </si>
  <si>
    <t>Team information, form and upcoming matches display</t>
  </si>
  <si>
    <t>W06-05</t>
  </si>
  <si>
    <t>Build team fixture and result history</t>
  </si>
  <si>
    <t>Historical matches paginate and filter correctly</t>
  </si>
  <si>
    <t>W06-06</t>
  </si>
  <si>
    <t>Build squad display</t>
  </si>
  <si>
    <t>Current membership and player positions display correctly</t>
  </si>
  <si>
    <t>W06-07</t>
  </si>
  <si>
    <t>Build player overview and career history</t>
  </si>
  <si>
    <t>Player information and time-bounded team history display</t>
  </si>
  <si>
    <t>W06-08</t>
  </si>
  <si>
    <t>Search</t>
  </si>
  <si>
    <t>Implement team, player and competition search</t>
  </si>
  <si>
    <t>Search returns relevant results and handles no-result states</t>
  </si>
  <si>
    <t>W06-09</t>
  </si>
  <si>
    <t>Implement loading, empty and provider-error states</t>
  </si>
  <si>
    <t>All football pages remain understandable without ideal data</t>
  </si>
  <si>
    <t>W06-10</t>
  </si>
  <si>
    <t>Make football pages responsive and keyboard usable</t>
  </si>
  <si>
    <t>Core journeys work on mobile, desktop and keyboard</t>
  </si>
  <si>
    <t>W06-11</t>
  </si>
  <si>
    <t>Test standings, memberships and football queries</t>
  </si>
  <si>
    <t>Unit and integration coverage includes historical transfers</t>
  </si>
  <si>
    <t>W07-01</t>
  </si>
  <si>
    <t>Build scheduled and pre-match states</t>
  </si>
  <si>
    <t>Kick-off, venue, prediction placeholder and line-up availability display</t>
  </si>
  <si>
    <t>W07-02</t>
  </si>
  <si>
    <t>Build live, half-time and final match states</t>
  </si>
  <si>
    <t>Score, clock and status update without confusing the user</t>
  </si>
  <si>
    <t>W07-03</t>
  </si>
  <si>
    <t>Build postponed, cancelled and abandoned states</t>
  </si>
  <si>
    <t>Exceptional match states have accurate messaging</t>
  </si>
  <si>
    <t>W07-04</t>
  </si>
  <si>
    <t>Build match event timeline</t>
  </si>
  <si>
    <t>Goals, cards and substitutions appear in correct order</t>
  </si>
  <si>
    <t>W07-05</t>
  </si>
  <si>
    <t>Build line-up and formation display</t>
  </si>
  <si>
    <t>Starting players, substitutes and formation are readable</t>
  </si>
  <si>
    <t>W07-06</t>
  </si>
  <si>
    <t>Build match statistics display</t>
  </si>
  <si>
    <t>Available statistics distinguish missing from zero</t>
  </si>
  <si>
    <t>W07-07</t>
  </si>
  <si>
    <t>Implement safe live-update transport</t>
  </si>
  <si>
    <t>Polling or streaming updates clients within selected limits</t>
  </si>
  <si>
    <t>W07-08</t>
  </si>
  <si>
    <t>Display source freshness and stale-data state</t>
  </si>
  <si>
    <t>Users can see when live information may be delayed</t>
  </si>
  <si>
    <t>W07-09</t>
  </si>
  <si>
    <t>Simulate goals, corrections and duplicate events</t>
  </si>
  <si>
    <t>Repeated or corrected events remain consistent</t>
  </si>
  <si>
    <t>W07-10</t>
  </si>
  <si>
    <t>Simulate postponement and provider outage</t>
  </si>
  <si>
    <t>Match centre degrades safely and recovers</t>
  </si>
  <si>
    <t>W07-11</t>
  </si>
  <si>
    <t>Test live updates with keyboard and assistive labels</t>
  </si>
  <si>
    <t>Live changes do not move focus and have text alternatives</t>
  </si>
  <si>
    <t>W08-01</t>
  </si>
  <si>
    <t>Accounts &amp; Community</t>
  </si>
  <si>
    <t>Authentication</t>
  </si>
  <si>
    <t>Implement registration and email verification</t>
  </si>
  <si>
    <t>New accounts verify ownership before sensitive actions</t>
  </si>
  <si>
    <t>W08-02</t>
  </si>
  <si>
    <t>Implement login and logout</t>
  </si>
  <si>
    <t>Sessions start and end securely</t>
  </si>
  <si>
    <t>W08-03</t>
  </si>
  <si>
    <t>Implement password recovery</t>
  </si>
  <si>
    <t>Single-use expiring reset flow works safely</t>
  </si>
  <si>
    <t>W08-04</t>
  </si>
  <si>
    <t>Implement secure session management</t>
  </si>
  <si>
    <t>Secure cookies, expiry and session revocation are applied</t>
  </si>
  <si>
    <t>W08-05</t>
  </si>
  <si>
    <t>Profiles</t>
  </si>
  <si>
    <t>Implement public profile creation and editing</t>
  </si>
  <si>
    <t>Public identity is separated from private account data</t>
  </si>
  <si>
    <t>W08-06</t>
  </si>
  <si>
    <t>Personalisation</t>
  </si>
  <si>
    <t>Implement team follows</t>
  </si>
  <si>
    <t>Users can follow and unfollow teams consistently</t>
  </si>
  <si>
    <t>W08-07</t>
  </si>
  <si>
    <t>Implement player and user follows</t>
  </si>
  <si>
    <t>Follow relationships enforce blocks and uniqueness</t>
  </si>
  <si>
    <t>W08-08</t>
  </si>
  <si>
    <t>Implement favourite matches</t>
  </si>
  <si>
    <t>Users can save upcoming or live matches</t>
  </si>
  <si>
    <t>W08-09</t>
  </si>
  <si>
    <t>Build Following feed foundation</t>
  </si>
  <si>
    <t>Followed football entities and accounts influence feed results</t>
  </si>
  <si>
    <t>W08-10</t>
  </si>
  <si>
    <t>Notifications</t>
  </si>
  <si>
    <t>Build notification preference settings</t>
  </si>
  <si>
    <t>Users control team, match, event type and channel</t>
  </si>
  <si>
    <t>W08-11</t>
  </si>
  <si>
    <t>Add authentication rate limits and validation</t>
  </si>
  <si>
    <t>Brute-force and malformed requests are constrained</t>
  </si>
  <si>
    <t>W08-12</t>
  </si>
  <si>
    <t>Add authentication and permission tests</t>
  </si>
  <si>
    <t>Registration, recovery, sessions and protected routes are covered</t>
  </si>
  <si>
    <t>W09-01</t>
  </si>
  <si>
    <t>Social</t>
  </si>
  <si>
    <t>Create post and content models</t>
  </si>
  <si>
    <t>Posts support ownership, visibility, lifecycle and football references</t>
  </si>
  <si>
    <t>W09-02</t>
  </si>
  <si>
    <t>Implement match discussions</t>
  </si>
  <si>
    <t>Every supported fixture has a controlled discussion space</t>
  </si>
  <si>
    <t>W09-03</t>
  </si>
  <si>
    <t>Implement comments and limited replies</t>
  </si>
  <si>
    <t>Thread depth and permissions are enforced</t>
  </si>
  <si>
    <t>W09-04</t>
  </si>
  <si>
    <t>Implement reactions</t>
  </si>
  <si>
    <t>Reactions are unique, reversible and count accurately</t>
  </si>
  <si>
    <t>W09-05</t>
  </si>
  <si>
    <t>Build supporter profile content views</t>
  </si>
  <si>
    <t>Posts and replies display with privacy and moderation states</t>
  </si>
  <si>
    <t>W09-06</t>
  </si>
  <si>
    <t>Feed</t>
  </si>
  <si>
    <t>Implement initial For You feed rules</t>
  </si>
  <si>
    <t>Transparent signals create a useful non-ML feed</t>
  </si>
  <si>
    <t>W09-07</t>
  </si>
  <si>
    <t>Complete Following feed</t>
  </si>
  <si>
    <t>Followed accounts and football entities appear predictably</t>
  </si>
  <si>
    <t>W09-08</t>
  </si>
  <si>
    <t>Add community tabs to match, team and player pages</t>
  </si>
  <si>
    <t>Social content remains separate from canonical information</t>
  </si>
  <si>
    <t>W09-09</t>
  </si>
  <si>
    <t>Implement content deletion and visibility states</t>
  </si>
  <si>
    <t>Deleted, hidden, restricted and archived states behave distinctly</t>
  </si>
  <si>
    <t>W09-10</t>
  </si>
  <si>
    <t>Implement match-discussion archival lifecycle</t>
  </si>
  <si>
    <t>Thread closes, archives and expires according to configuration</t>
  </si>
  <si>
    <t>W09-11</t>
  </si>
  <si>
    <t>Performance</t>
  </si>
  <si>
    <t>Implement feed and discussion pagination</t>
  </si>
  <si>
    <t>Large feeds load incrementally and consistently</t>
  </si>
  <si>
    <t>W09-12</t>
  </si>
  <si>
    <t>Test content permissions and lifecycle</t>
  </si>
  <si>
    <t>Blocks, deletions, archives and pagination have coverage</t>
  </si>
  <si>
    <t>W10-01</t>
  </si>
  <si>
    <t>Implement reporting for content and accounts</t>
  </si>
  <si>
    <t>Reports capture category, target, context and reporter</t>
  </si>
  <si>
    <t>W10-02</t>
  </si>
  <si>
    <t>Implement block and mute</t>
  </si>
  <si>
    <t>Blocked users cannot bypass restrictions through replies or follows</t>
  </si>
  <si>
    <t>W10-03</t>
  </si>
  <si>
    <t>Implement match-thread slow mode and locking</t>
  </si>
  <si>
    <t>Authorised moderators can control high-risk discussions</t>
  </si>
  <si>
    <t>W10-04</t>
  </si>
  <si>
    <t>Implement reply restrictions</t>
  </si>
  <si>
    <t>Threads can limit replies without deleting football information</t>
  </si>
  <si>
    <t>W10-05</t>
  </si>
  <si>
    <t>Moderation</t>
  </si>
  <si>
    <t>Build moderator review queue</t>
  </si>
  <si>
    <t>Cases sort by priority, age, match and risk category</t>
  </si>
  <si>
    <t>W10-06</t>
  </si>
  <si>
    <t>Implement content removal and restoration</t>
  </si>
  <si>
    <t>Public visibility changes without destroying evidence</t>
  </si>
  <si>
    <t>W10-07</t>
  </si>
  <si>
    <t>Implement warnings and temporary restrictions</t>
  </si>
  <si>
    <t>Actions include reason, duration and affected capability</t>
  </si>
  <si>
    <t>W10-08</t>
  </si>
  <si>
    <t>Implement suspension, ban and revocation</t>
  </si>
  <si>
    <t>Severe actions are role-restricted and reviewable</t>
  </si>
  <si>
    <t>W10-09</t>
  </si>
  <si>
    <t>Implement immutable moderation audit history</t>
  </si>
  <si>
    <t>Every moderator action records actor, reason and timestamp</t>
  </si>
  <si>
    <t>W10-10</t>
  </si>
  <si>
    <t>Implement user appeals</t>
  </si>
  <si>
    <t>Eligible users can appeal and receive an outcome</t>
  </si>
  <si>
    <t>W10-11</t>
  </si>
  <si>
    <t>Write Community Guidelines and taxonomy</t>
  </si>
  <si>
    <t>Permitted rivalry and prohibited harms are clearly distinguished</t>
  </si>
  <si>
    <t>W10-12</t>
  </si>
  <si>
    <t>Write moderation matrix and enforcement policy</t>
  </si>
  <si>
    <t>Comparable cases lead to consistent initial decisions</t>
  </si>
  <si>
    <t>W10-13</t>
  </si>
  <si>
    <t>Write matchday incident and appeals procedures</t>
  </si>
  <si>
    <t>Urgent escalation and routine appeals have defined owners</t>
  </si>
  <si>
    <t>W10-14</t>
  </si>
  <si>
    <t>Test moderator permissions, blocks and audit</t>
  </si>
  <si>
    <t>Moderators cannot exceed roles or alter historical audit entries</t>
  </si>
  <si>
    <t>W11-01</t>
  </si>
  <si>
    <t>ML &amp; Notifications</t>
  </si>
  <si>
    <t>Extract historical match dataset</t>
  </si>
  <si>
    <t>Dataset contains stable match IDs and as-of timestamps</t>
  </si>
  <si>
    <t>W11-02</t>
  </si>
  <si>
    <t>Clean and validate model data</t>
  </si>
  <si>
    <t>Missingness, duplicates and invalid outcomes are documented</t>
  </si>
  <si>
    <t>W11-03</t>
  </si>
  <si>
    <t>Create time-aware feature pipeline</t>
  </si>
  <si>
    <t>Every feature is reproducible at the prediction timestamp</t>
  </si>
  <si>
    <t>W11-04</t>
  </si>
  <si>
    <t>Implement historical-frequency baseline</t>
  </si>
  <si>
    <t>Simple home/draw/away baseline is evaluated</t>
  </si>
  <si>
    <t>W11-05</t>
  </si>
  <si>
    <t>Implement home-advantage baseline</t>
  </si>
  <si>
    <t>Venue effect baseline is evaluated and recorded</t>
  </si>
  <si>
    <t>W11-06</t>
  </si>
  <si>
    <t>Implement Elo or logistic baseline</t>
  </si>
  <si>
    <t>Transparent team-strength model produces probabilities</t>
  </si>
  <si>
    <t>W11-07</t>
  </si>
  <si>
    <t>Create chronological train, validation and test split</t>
  </si>
  <si>
    <t>No future match can influence an earlier split</t>
  </si>
  <si>
    <t>W11-08</t>
  </si>
  <si>
    <t>Evaluate accuracy and class performance</t>
  </si>
  <si>
    <t>Home, draw and away results are reported separately</t>
  </si>
  <si>
    <t>W11-09</t>
  </si>
  <si>
    <t>Evaluate log loss, Brier score and calibration</t>
  </si>
  <si>
    <t>Probability quality is compared across baselines</t>
  </si>
  <si>
    <t>W11-10</t>
  </si>
  <si>
    <t>Test feature timestamps for leakage</t>
  </si>
  <si>
    <t>Known future fields fail automated leakage checks</t>
  </si>
  <si>
    <t>W11-11</t>
  </si>
  <si>
    <t>Write dataset description and experiment log</t>
  </si>
  <si>
    <t>Sources, transformations, exclusions and results are reproducible</t>
  </si>
  <si>
    <t>W11-12</t>
  </si>
  <si>
    <t>Record baseline limitations</t>
  </si>
  <si>
    <t>Data gaps and expected failure conditions are explicit</t>
  </si>
  <si>
    <t>W12-01</t>
  </si>
  <si>
    <t>Add recent team form and opponent-quality features</t>
  </si>
  <si>
    <t>Features use only matches completed before prediction time</t>
  </si>
  <si>
    <t>W12-02</t>
  </si>
  <si>
    <t>Add rest and fixture-congestion features</t>
  </si>
  <si>
    <t>Rest calculations handle postponements and missing matches</t>
  </si>
  <si>
    <t>W12-03</t>
  </si>
  <si>
    <t>Evaluate line-up and player availability</t>
  </si>
  <si>
    <t>Feasibility and missingness are measured before use</t>
  </si>
  <si>
    <t>W12-04</t>
  </si>
  <si>
    <t>Train improved tabular model</t>
  </si>
  <si>
    <t>Candidate model is tuned only on training/validation periods</t>
  </si>
  <si>
    <t>W12-05</t>
  </si>
  <si>
    <t>Compare improved model with all baselines</t>
  </si>
  <si>
    <t>Improvement is reproducible and not selected from test leakage</t>
  </si>
  <si>
    <t>W12-06</t>
  </si>
  <si>
    <t>Create prediction API</t>
  </si>
  <si>
    <t>Match prediction response includes probabilities, time and model version</t>
  </si>
  <si>
    <t>W12-07</t>
  </si>
  <si>
    <t>Store model versions and prediction snapshots</t>
  </si>
  <si>
    <t>Historical predictions can be reproduced and audited</t>
  </si>
  <si>
    <t>W12-08</t>
  </si>
  <si>
    <t>Implement pre-line-up and confirmed-line-up states</t>
  </si>
  <si>
    <t>UI and API identify available information at each prediction</t>
  </si>
  <si>
    <t>W12-09</t>
  </si>
  <si>
    <t>Generate plain-language influential factors</t>
  </si>
  <si>
    <t>Factors are faithful, understandable and non-deterministic</t>
  </si>
  <si>
    <t>W12-10</t>
  </si>
  <si>
    <t>Build match prediction component</t>
  </si>
  <si>
    <t>Probabilities, time, line-up state and limitations are displayed</t>
  </si>
  <si>
    <t>W12-11</t>
  </si>
  <si>
    <t>Write model card</t>
  </si>
  <si>
    <t>Purpose, data, metrics, limitations and responsible presentation are documented</t>
  </si>
  <si>
    <t>W12-12</t>
  </si>
  <si>
    <t>Test prediction reproducibility and presentation</t>
  </si>
  <si>
    <t>Snapshots reproduce and probabilities/labels remain consistent</t>
  </si>
  <si>
    <t>W13-01</t>
  </si>
  <si>
    <t>Implement match-reminder email</t>
  </si>
  <si>
    <t>Opted-in users receive one correctly timed reminder</t>
  </si>
  <si>
    <t>W13-02</t>
  </si>
  <si>
    <t>Implement line-up and kick-off alerts</t>
  </si>
  <si>
    <t>Alerts respect team, match and channel preferences</t>
  </si>
  <si>
    <t>W13-03</t>
  </si>
  <si>
    <t>Implement goal notifications</t>
  </si>
  <si>
    <t>Goals generate one alert with match and scorer context</t>
  </si>
  <si>
    <t>W13-04</t>
  </si>
  <si>
    <t>Implement half-time and full-time alerts</t>
  </si>
  <si>
    <t>Users receive enabled summary states once</t>
  </si>
  <si>
    <t>W13-05</t>
  </si>
  <si>
    <t>Implement postponement and cancellation alerts</t>
  </si>
  <si>
    <t>Material schedule changes notify affected followers</t>
  </si>
  <si>
    <t>W13-06</t>
  </si>
  <si>
    <t>Implement social and moderation notifications</t>
  </si>
  <si>
    <t>Replies, mentions and case outcomes respect preferences</t>
  </si>
  <si>
    <t>W13-07</t>
  </si>
  <si>
    <t>Create delivery logs and retry handling</t>
  </si>
  <si>
    <t>Failures retry safely and remain diagnosable</t>
  </si>
  <si>
    <t>W13-08</t>
  </si>
  <si>
    <t>Implement notification idempotency</t>
  </si>
  <si>
    <t>Repeated or corrected provider events do not duplicate alerts</t>
  </si>
  <si>
    <t>W13-09</t>
  </si>
  <si>
    <t>External Links</t>
  </si>
  <si>
    <t>Build region-aware Where to Watch section</t>
  </si>
  <si>
    <t>Only reliable official listings are shown with region context</t>
  </si>
  <si>
    <t>W13-10</t>
  </si>
  <si>
    <t>Add official team ticket links</t>
  </si>
  <si>
    <t>Links use approved sources and do not invent availability</t>
  </si>
  <si>
    <t>W13-11</t>
  </si>
  <si>
    <t>Implement approved-domain and URL validation</t>
  </si>
  <si>
    <t>Unapproved or malformed official links cannot be published</t>
  </si>
  <si>
    <t>W13-12</t>
  </si>
  <si>
    <t>Add last-verified and broken-link handling</t>
  </si>
  <si>
    <t>Users can see freshness and receive safe fallbacks</t>
  </si>
  <si>
    <t>W13-13</t>
  </si>
  <si>
    <t>Test alert preferences, duplicates and failures</t>
  </si>
  <si>
    <t>Disabled alerts stay disabled and retries do not duplicate</t>
  </si>
  <si>
    <t>W14-01</t>
  </si>
  <si>
    <t>Release &amp; Portfolio</t>
  </si>
  <si>
    <t>Run complete P0 end-to-end journey suite</t>
  </si>
  <si>
    <t>Registration through match, discussion, report and prediction passes</t>
  </si>
  <si>
    <t>W14-02</t>
  </si>
  <si>
    <t>Profile and index database queries</t>
  </si>
  <si>
    <t>Slow fixture, table, feed and moderation queries are improved</t>
  </si>
  <si>
    <t>W14-03</t>
  </si>
  <si>
    <t>Optimise feed and discussion pagination</t>
  </si>
  <si>
    <t>Large datasets maintain stable latency and ordering</t>
  </si>
  <si>
    <t>W14-04</t>
  </si>
  <si>
    <t>Implement and validate caching strategy</t>
  </si>
  <si>
    <t>Cache improves reads without serving incorrect score states</t>
  </si>
  <si>
    <t>W14-05</t>
  </si>
  <si>
    <t>Tune provider polling and worker queues</t>
  </si>
  <si>
    <t>Rate limits, retries and backlogs remain controlled</t>
  </si>
  <si>
    <t>W14-06</t>
  </si>
  <si>
    <t>Optimise notification delivery pipeline</t>
  </si>
  <si>
    <t>Matchday fan-out meets chosen performance target</t>
  </si>
  <si>
    <t>W14-07</t>
  </si>
  <si>
    <t>Optimise images and frontend bundle</t>
  </si>
  <si>
    <t>Core pages load efficiently on typical mobile connections</t>
  </si>
  <si>
    <t>W14-08</t>
  </si>
  <si>
    <t>Complete keyboard and focus audit</t>
  </si>
  <si>
    <t>All P0 journeys work without a mouse</t>
  </si>
  <si>
    <t>W14-09</t>
  </si>
  <si>
    <t>Complete contrast and text-label audit</t>
  </si>
  <si>
    <t>Information never relies only on colour</t>
  </si>
  <si>
    <t>W14-10</t>
  </si>
  <si>
    <t>Test live announcements and reduced motion</t>
  </si>
  <si>
    <t>Live updates are understandable and controllable</t>
  </si>
  <si>
    <t>W14-11</t>
  </si>
  <si>
    <t>Responsive Design</t>
  </si>
  <si>
    <t>Test mobile, tablet and desktop layouts</t>
  </si>
  <si>
    <t>No P0 screen clips or loses essential actions</t>
  </si>
  <si>
    <t>W14-12</t>
  </si>
  <si>
    <t>Run initial matchday load test</t>
  </si>
  <si>
    <t>Results identify capacity, bottlenecks and safe degradation</t>
  </si>
  <si>
    <t>W15-01</t>
  </si>
  <si>
    <t>Test authentication and account recovery</t>
  </si>
  <si>
    <t>Common takeover and reset abuse paths are constrained</t>
  </si>
  <si>
    <t>W15-02</t>
  </si>
  <si>
    <t>Test role and object-level authorisation</t>
  </si>
  <si>
    <t>Users and moderators cannot access unauthorised resources</t>
  </si>
  <si>
    <t>W15-03</t>
  </si>
  <si>
    <t>Test injection, XSS and request forgery</t>
  </si>
  <si>
    <t>Inputs, rendering and state changes resist common attacks</t>
  </si>
  <si>
    <t>W15-04</t>
  </si>
  <si>
    <t>Test sessions, rate limits and malicious links</t>
  </si>
  <si>
    <t>Session boundaries and anti-abuse controls behave correctly</t>
  </si>
  <si>
    <t>W15-05</t>
  </si>
  <si>
    <t>Run dependency and secret scans</t>
  </si>
  <si>
    <t>No unresolved critical dependency or committed secret remains</t>
  </si>
  <si>
    <t>W15-06</t>
  </si>
  <si>
    <t>Review moderator and administrator permissions</t>
  </si>
  <si>
    <t>Least privilege and strong audit coverage are demonstrated</t>
  </si>
  <si>
    <t>W15-07</t>
  </si>
  <si>
    <t>Test backup and database restoration</t>
  </si>
  <si>
    <t>A documented backup restores to a usable environment</t>
  </si>
  <si>
    <t>W15-08</t>
  </si>
  <si>
    <t>Test provider and notification outages</t>
  </si>
  <si>
    <t>Failures degrade safely and recover without duplicate data</t>
  </si>
  <si>
    <t>W15-09</t>
  </si>
  <si>
    <t>Run full unit, integration and API contract suites</t>
  </si>
  <si>
    <t>All critical suites pass in CI</t>
  </si>
  <si>
    <t>W15-10</t>
  </si>
  <si>
    <t>Run final E2E and accessibility suites</t>
  </si>
  <si>
    <t>All P0 user journeys and accessibility gates pass</t>
  </si>
  <si>
    <t>W15-11</t>
  </si>
  <si>
    <t>Run final performance and ML reproducibility tests</t>
  </si>
  <si>
    <t>Performance targets and model evidence are repeatable</t>
  </si>
  <si>
    <t>W15-12</t>
  </si>
  <si>
    <t>Write security checklist and incident plan</t>
  </si>
  <si>
    <t>Preventive, detection, response and recovery actions are documented</t>
  </si>
  <si>
    <t>W15-13</t>
  </si>
  <si>
    <t>Write deployment runbook and limitations</t>
  </si>
  <si>
    <t>Release, rollback, recovery and known gaps are explicit</t>
  </si>
  <si>
    <t>W15-14</t>
  </si>
  <si>
    <t>Deploy and validate staging release</t>
  </si>
  <si>
    <t>Release candidate runs with production-like configuration</t>
  </si>
  <si>
    <t>W16-01</t>
  </si>
  <si>
    <t>Deploy production portfolio demonstration</t>
  </si>
  <si>
    <t>Public demo is reachable without exposing private credentials</t>
  </si>
  <si>
    <t>W16-02</t>
  </si>
  <si>
    <t>Create safe demonstration seed data</t>
  </si>
  <si>
    <t>Demo remains understandable during provider downtime</t>
  </si>
  <si>
    <t>W16-03</t>
  </si>
  <si>
    <t>Configure monitoring and error reporting</t>
  </si>
  <si>
    <t>Critical failures, jobs and provider health are visible</t>
  </si>
  <si>
    <t>W16-04</t>
  </si>
  <si>
    <t>Complete final README and setup guide</t>
  </si>
  <si>
    <t>Problem, architecture, setup, evidence and limitations are clear</t>
  </si>
  <si>
    <t>W16-05</t>
  </si>
  <si>
    <t>Update architecture, ERD and API documentation</t>
  </si>
  <si>
    <t>Documentation matches the deployed implementation</t>
  </si>
  <si>
    <t>W16-06</t>
  </si>
  <si>
    <t>Publish final test and security report</t>
  </si>
  <si>
    <t>Test scope, results, failures and residual risks are honest</t>
  </si>
  <si>
    <t>W16-07</t>
  </si>
  <si>
    <t>Complete model card and evaluation report</t>
  </si>
  <si>
    <t>Model evidence, baselines, calibration and limitations are complete</t>
  </si>
  <si>
    <t>W16-08</t>
  </si>
  <si>
    <t>Complete community and moderation summary</t>
  </si>
  <si>
    <t>Safety design and enforcement workflow are portfolio-ready</t>
  </si>
  <si>
    <t>W16-09</t>
  </si>
  <si>
    <t>Portfolio</t>
  </si>
  <si>
    <t>Write project retrospective</t>
  </si>
  <si>
    <t>Decisions, failures, learning and future improvements are discussed</t>
  </si>
  <si>
    <t>W16-10</t>
  </si>
  <si>
    <t>Capture annotated screenshots</t>
  </si>
  <si>
    <t>Core football, social, safety and ML screens are represented</t>
  </si>
  <si>
    <t>W16-11</t>
  </si>
  <si>
    <t>Record two-to-three-minute demonstration video</t>
  </si>
  <si>
    <t>Video shows one coherent end-to-end story</t>
  </si>
  <si>
    <t>W16-12</t>
  </si>
  <si>
    <t>Write CV project entry</t>
  </si>
  <si>
    <t>Entry leads with outcome, technical depth and evidence</t>
  </si>
  <si>
    <t>W16-13</t>
  </si>
  <si>
    <t>Write portfolio case study</t>
  </si>
  <si>
    <t>Problem, process, architecture, safety, ML, testing and results are covered</t>
  </si>
  <si>
    <t>W16-14</t>
  </si>
  <si>
    <t>Complete final definition-of-done review</t>
  </si>
  <si>
    <t>Every P0 item is complete or explicitly documented as incomplete</t>
  </si>
  <si>
    <t>ULTRAS — WEEKLY PLAN</t>
  </si>
  <si>
    <t>Use this sheet for the weekly review. Capacity defaults to 20 hours; negative capacity gaps show where scope or dates need adjusting.</t>
  </si>
  <si>
    <t>Start</t>
  </si>
  <si>
    <t>End</t>
  </si>
  <si>
    <t>Milestone</t>
  </si>
  <si>
    <t>Completion %</t>
  </si>
  <si>
    <t>Capacity Hours</t>
  </si>
  <si>
    <t>Capacity Gap</t>
  </si>
  <si>
    <t>Hours Variance</t>
  </si>
  <si>
    <t>Weekly Review Notes</t>
  </si>
  <si>
    <t>Research and definition</t>
  </si>
  <si>
    <t>Approved P0 scope, research plan and product requirements</t>
  </si>
  <si>
    <t>UX and interface design</t>
  </si>
  <si>
    <t>Core flows, wireframes and visual system completed</t>
  </si>
  <si>
    <t>Technical and security design</t>
  </si>
  <si>
    <t>Architecture, ERD, API, threat model and test strategy approved</t>
  </si>
  <si>
    <t>Project foundation</t>
  </si>
  <si>
    <t>Reproducible local environment and CI pipeline</t>
  </si>
  <si>
    <t>Football data integration</t>
  </si>
  <si>
    <t>One competition imports and refreshes reliably</t>
  </si>
  <si>
    <t>Football information pages</t>
  </si>
  <si>
    <t>Competition, team, player and fixture pages usable</t>
  </si>
  <si>
    <t>Live match centre</t>
  </si>
  <si>
    <t>All core match states and live updates demonstrated</t>
  </si>
  <si>
    <t>Authentication and personalisation</t>
  </si>
  <si>
    <t>Secure accounts, follows and preferences working</t>
  </si>
  <si>
    <t>Community platform</t>
  </si>
  <si>
    <t>Feeds and match discussions working safely</t>
  </si>
  <si>
    <t>Moderation and safety</t>
  </si>
  <si>
    <t>Reports, enforcement, audit and appeals demonstrated</t>
  </si>
  <si>
    <t>ML dataset and baseline</t>
  </si>
  <si>
    <t>Leakage-safe baseline evaluated chronologically</t>
  </si>
  <si>
    <t>Improved ML and integration</t>
  </si>
  <si>
    <t>Explainable prediction appears on match page</t>
  </si>
  <si>
    <t>Notifications and official links</t>
  </si>
  <si>
    <t>Deduplicated alerts and verified outbound links working</t>
  </si>
  <si>
    <t>Integration and optimisation</t>
  </si>
  <si>
    <t>Accessible, responsive release candidate</t>
  </si>
  <si>
    <t>Security and release testing</t>
  </si>
  <si>
    <t>No critical security or P0 journey failures</t>
  </si>
  <si>
    <t>Deployment and portfolio packaging</t>
  </si>
  <si>
    <t>Deployed demonstration and complete portfolio case study</t>
  </si>
  <si>
    <t>ULTRAS — DOCUMENTATION CHECKLIST</t>
  </si>
  <si>
    <t>Track each product, design, engineering, safety, ML and portfolio document alongside the implementation.</t>
  </si>
  <si>
    <t>Doc ID</t>
  </si>
  <si>
    <t>Document</t>
  </si>
  <si>
    <t>Purpose</t>
  </si>
  <si>
    <t>Target Week</t>
  </si>
  <si>
    <t>Reviewer</t>
  </si>
  <si>
    <t>Last Updated</t>
  </si>
  <si>
    <t>D01</t>
  </si>
  <si>
    <t>Project brief</t>
  </si>
  <si>
    <t>Defines the problem, audience, scope and success criteria</t>
  </si>
  <si>
    <t>D02</t>
  </si>
  <si>
    <t>Product Requirements Document</t>
  </si>
  <si>
    <t>Records testable P0 product requirements</t>
  </si>
  <si>
    <t>D03</t>
  </si>
  <si>
    <t>User stories and acceptance criteria</t>
  </si>
  <si>
    <t>Maps user needs to testable behaviour</t>
  </si>
  <si>
    <t>D04</t>
  </si>
  <si>
    <t>Feature priority and out-of-scope register</t>
  </si>
  <si>
    <t>Protects the MVP from uncontrolled expansion</t>
  </si>
  <si>
    <t>D05</t>
  </si>
  <si>
    <t>Football-data provider comparison</t>
  </si>
  <si>
    <t>Supports provider and competition selection</t>
  </si>
  <si>
    <t>D06</t>
  </si>
  <si>
    <t>Competitor audit</t>
  </si>
  <si>
    <t>Records useful patterns and differentiation</t>
  </si>
  <si>
    <t>D07</t>
  </si>
  <si>
    <t>Research summary and open questions</t>
  </si>
  <si>
    <t>Separates evidence from unresolved assumptions</t>
  </si>
  <si>
    <t>D08</t>
  </si>
  <si>
    <t>Product risk register</t>
  </si>
  <si>
    <t>Tracks product, technical, safety and delivery risk</t>
  </si>
  <si>
    <t>D09</t>
  </si>
  <si>
    <t>Sitemap</t>
  </si>
  <si>
    <t>Defines page hierarchy and navigation</t>
  </si>
  <si>
    <t>D10</t>
  </si>
  <si>
    <t>Core user-flow diagrams</t>
  </si>
  <si>
    <t>Documents critical user and moderator journeys</t>
  </si>
  <si>
    <t>D11</t>
  </si>
  <si>
    <t>Low-fidelity wireframes</t>
  </si>
  <si>
    <t>Validates layout before visual polish</t>
  </si>
  <si>
    <t>D12</t>
  </si>
  <si>
    <t>High-fidelity core screens</t>
  </si>
  <si>
    <t>Defines intended interface quality</t>
  </si>
  <si>
    <t>D13</t>
  </si>
  <si>
    <t>UI design system</t>
  </si>
  <si>
    <t>Documents tokens, components and states</t>
  </si>
  <si>
    <t>D14</t>
  </si>
  <si>
    <t>Database ERD</t>
  </si>
  <si>
    <t>Defines data entities and relationships</t>
  </si>
  <si>
    <t>D15</t>
  </si>
  <si>
    <t>Data dictionary</t>
  </si>
  <si>
    <t>Defines fields, types, constraints and sources</t>
  </si>
  <si>
    <t>D16</t>
  </si>
  <si>
    <t>Data retention schedule</t>
  </si>
  <si>
    <t>Defines lifecycle for personal and social data</t>
  </si>
  <si>
    <t>D17</t>
  </si>
  <si>
    <t>System architecture diagram</t>
  </si>
  <si>
    <t>Shows application and data boundaries</t>
  </si>
  <si>
    <t>D18</t>
  </si>
  <si>
    <t>API specification</t>
  </si>
  <si>
    <t>Defines contracts, permissions and errors</t>
  </si>
  <si>
    <t>D19</t>
  </si>
  <si>
    <t>Architecture Decision Records</t>
  </si>
  <si>
    <t>Explains major technical choices</t>
  </si>
  <si>
    <t>D20</t>
  </si>
  <si>
    <t>Threat model</t>
  </si>
  <si>
    <t>Identifies assets, abuse cases and controls</t>
  </si>
  <si>
    <t>D21</t>
  </si>
  <si>
    <t>Moderation workflow</t>
  </si>
  <si>
    <t>Defines reports, cases, actions and appeals</t>
  </si>
  <si>
    <t>D22</t>
  </si>
  <si>
    <t>Testing strategy</t>
  </si>
  <si>
    <t>Maps quality risks to test levels</t>
  </si>
  <si>
    <t>D23</t>
  </si>
  <si>
    <t>Community Guidelines</t>
  </si>
  <si>
    <t>Explains permitted and prohibited behaviour</t>
  </si>
  <si>
    <t>D24</t>
  </si>
  <si>
    <t>Harmful-content taxonomy</t>
  </si>
  <si>
    <t>Classifies safety risks consistently</t>
  </si>
  <si>
    <t>D25</t>
  </si>
  <si>
    <t>Moderation decision matrix</t>
  </si>
  <si>
    <t>Supports consistent enforcement</t>
  </si>
  <si>
    <t>D26</t>
  </si>
  <si>
    <t>ML experiment specification</t>
  </si>
  <si>
    <t>Defines target, features, split and metrics</t>
  </si>
  <si>
    <t>D27</t>
  </si>
  <si>
    <t>Dataset description</t>
  </si>
  <si>
    <t>Documents provenance and transformation</t>
  </si>
  <si>
    <t>D28</t>
  </si>
  <si>
    <t>ML experiment log</t>
  </si>
  <si>
    <t>Records reproducible experiments and outcomes</t>
  </si>
  <si>
    <t>D29</t>
  </si>
  <si>
    <t>Model card</t>
  </si>
  <si>
    <t>Documents model use, performance and limitations</t>
  </si>
  <si>
    <t>D30</t>
  </si>
  <si>
    <t>ML evaluation report</t>
  </si>
  <si>
    <t>Compares baselines and improved model</t>
  </si>
  <si>
    <t>D31</t>
  </si>
  <si>
    <t>Security checklist and incident plan</t>
  </si>
  <si>
    <t>Supports secure release and response</t>
  </si>
  <si>
    <t>D32</t>
  </si>
  <si>
    <t>Deployment guide and runbook</t>
  </si>
  <si>
    <t>Explains release, rollback and recovery</t>
  </si>
  <si>
    <t>D33</t>
  </si>
  <si>
    <t>Final README</t>
  </si>
  <si>
    <t>Presents setup, architecture and evidence</t>
  </si>
  <si>
    <t>D34</t>
  </si>
  <si>
    <t>Test and security report</t>
  </si>
  <si>
    <t>Summarises verification and residual risk</t>
  </si>
  <si>
    <t>D35</t>
  </si>
  <si>
    <t>Project retrospective</t>
  </si>
  <si>
    <t>Records learning, trade-offs and future work</t>
  </si>
  <si>
    <t>D36</t>
  </si>
  <si>
    <t>Demonstration video</t>
  </si>
  <si>
    <t>Shows the product story in two to three minutes</t>
  </si>
  <si>
    <t>D37</t>
  </si>
  <si>
    <t>CV and portfolio case study</t>
  </si>
  <si>
    <t>Presents the project for applications</t>
  </si>
  <si>
    <t>ULTRAS — RESEARCH LOG</t>
  </si>
  <si>
    <t>Record sources, findings and decisions. Keep factual evidence separate from assumptions and future questions.</t>
  </si>
  <si>
    <t>Research ID</t>
  </si>
  <si>
    <t>Stream</t>
  </si>
  <si>
    <t>Question</t>
  </si>
  <si>
    <t>Suggested Method</t>
  </si>
  <si>
    <t>Source URL</t>
  </si>
  <si>
    <t>Finding</t>
  </si>
  <si>
    <t>Decision / Impact</t>
  </si>
  <si>
    <t>Reviewed On</t>
  </si>
  <si>
    <t>R01</t>
  </si>
  <si>
    <t>Football data</t>
  </si>
  <si>
    <t>Which provider best covers the selected competition, live latency, history, line-ups and player data?</t>
  </si>
  <si>
    <t>Provider matrix and trial requests</t>
  </si>
  <si>
    <t>R02</t>
  </si>
  <si>
    <t>Data licensing</t>
  </si>
  <si>
    <t>What may be stored, displayed and used for ML or a public portfolio?</t>
  </si>
  <si>
    <t>Provider terms and direct clarification</t>
  </si>
  <si>
    <t>R03</t>
  </si>
  <si>
    <t>Initial competition</t>
  </si>
  <si>
    <t>Which competition has the most complete affordable dataset?</t>
  </si>
  <si>
    <t>Coverage comparison</t>
  </si>
  <si>
    <t>R04</t>
  </si>
  <si>
    <t>Competitors</t>
  </si>
  <si>
    <t>How do current products handle scores, feeds, discussions, alerts and safety?</t>
  </si>
  <si>
    <t>Structured product audit</t>
  </si>
  <si>
    <t>R05</t>
  </si>
  <si>
    <t>Supporter behaviour</t>
  </si>
  <si>
    <t>How do users follow matches and which alerts are valuable rather than annoying?</t>
  </si>
  <si>
    <t>Short interviews or questionnaire</t>
  </si>
  <si>
    <t>R06</t>
  </si>
  <si>
    <t>Which football-specific harms need special controls during matchday traffic?</t>
  </si>
  <si>
    <t>Risk review and official guidance</t>
  </si>
  <si>
    <t>R07</t>
  </si>
  <si>
    <t>What data is necessary and how long should social, account and moderation data be retained?</t>
  </si>
  <si>
    <t>Retention assessment</t>
  </si>
  <si>
    <t>R08</t>
  </si>
  <si>
    <t>Where to watch</t>
  </si>
  <si>
    <t>Which official source can provide region-aware broadcast listings and deep links?</t>
  </si>
  <si>
    <t>Source and licence comparison</t>
  </si>
  <si>
    <t>R09</t>
  </si>
  <si>
    <t>Ticket links</t>
  </si>
  <si>
    <t>How can official ticket links be validated without making availability claims?</t>
  </si>
  <si>
    <t>Club and competition source review</t>
  </si>
  <si>
    <t>R10</t>
  </si>
  <si>
    <t>Ticket exchange</t>
  </si>
  <si>
    <t>Would authorised club partnerships make face-value resale legally and operationally viable?</t>
  </si>
  <si>
    <t>Future feasibility study only</t>
  </si>
  <si>
    <t>R11</t>
  </si>
  <si>
    <t>Which implementation best fits secure sessions, verification and recovery?</t>
  </si>
  <si>
    <t>Technical comparison and ADR</t>
  </si>
  <si>
    <t>R12</t>
  </si>
  <si>
    <t>Live updates</t>
  </si>
  <si>
    <t>Do polling, SSE or WebSockets best fit provider limits and portfolio scale?</t>
  </si>
  <si>
    <t>Prototype and architecture decision</t>
  </si>
  <si>
    <t>R13</t>
  </si>
  <si>
    <t>Which channels and providers suit reminders, live alerts and delivery evidence?</t>
  </si>
  <si>
    <t>Provider comparison and prototype</t>
  </si>
  <si>
    <t>R14</t>
  </si>
  <si>
    <t>ML feasibility</t>
  </si>
  <si>
    <t>Is there sufficient historical and time-stamped player/line-up data for a fair model?</t>
  </si>
  <si>
    <t>Dataset audit</t>
  </si>
  <si>
    <t>R15</t>
  </si>
  <si>
    <t>Official accounts</t>
  </si>
  <si>
    <t>What evidence and permissions should be required to claim a team or player page?</t>
  </si>
  <si>
    <t>Verification workflow research</t>
  </si>
  <si>
    <t>R16</t>
  </si>
  <si>
    <t>Moderation operations</t>
  </si>
  <si>
    <t>What staffing assumptions and escalation process would a public launch require?</t>
  </si>
  <si>
    <t>Operational risk assessment</t>
  </si>
  <si>
    <t>ULTRAS — TRACKER GUIDE</t>
  </si>
  <si>
    <t>A short operating guide for keeping the workbook useful throughout the build.</t>
  </si>
  <si>
    <t>How to use the tracker</t>
  </si>
  <si>
    <t>1</t>
  </si>
  <si>
    <t>Begin on Task Tracker</t>
  </si>
  <si>
    <t>Filter by Week, Phase, Category, Priority or Status. Update only the editable tracking fields.</t>
  </si>
  <si>
    <t>2</t>
  </si>
  <si>
    <t>Update progress honestly</t>
  </si>
  <si>
    <t>Use Progress % for partial work and Status for workflow. Mark Complete only when completion criteria are satisfied.</t>
  </si>
  <si>
    <t>3</t>
  </si>
  <si>
    <t>Record evidence</t>
  </si>
  <si>
    <t>Add a commit, pull request, design file, screenshot, test report or document link in Evidence / Link.</t>
  </si>
  <si>
    <t>4</t>
  </si>
  <si>
    <t>Log actual hours</t>
  </si>
  <si>
    <t>Actual Hours helps you compare planned effort with reality and improve later estimates.</t>
  </si>
  <si>
    <t>5</t>
  </si>
  <si>
    <t>Review every Sunday</t>
  </si>
  <si>
    <t>Use Weekly Plan to record completed work, carried tasks, risks, decisions and the next three priorities.</t>
  </si>
  <si>
    <t>6</t>
  </si>
  <si>
    <t>Keep research auditable</t>
  </si>
  <si>
    <t>Research Log should contain source URLs, short findings and the product or technical decision produced.</t>
  </si>
  <si>
    <t>7</t>
  </si>
  <si>
    <t>Update documentation continuously</t>
  </si>
  <si>
    <t>Do not wait until Week 16. Mark documents Needs Update whenever implementation changes their assumptions.</t>
  </si>
  <si>
    <t>8</t>
  </si>
  <si>
    <t>Protect the MVP</t>
  </si>
  <si>
    <t>Defer P1/P2 work while a critical P0 task, test, security control or document remains incomplete.</t>
  </si>
  <si>
    <t>Status definitions</t>
  </si>
  <si>
    <t>No material work has begun</t>
  </si>
  <si>
    <t>0%</t>
  </si>
  <si>
    <t>In Progress</t>
  </si>
  <si>
    <t>The task is actively being worked on</t>
  </si>
  <si>
    <t>1–89%</t>
  </si>
  <si>
    <t>Blocked</t>
  </si>
  <si>
    <t>A dependency or decision prevents progress</t>
  </si>
  <si>
    <t>Record blocker in Notes</t>
  </si>
  <si>
    <t>Ready for Review</t>
  </si>
  <si>
    <t>Work is complete but needs checking</t>
  </si>
  <si>
    <t>Usually 90–99%</t>
  </si>
  <si>
    <t>Completion criteria and evidence are satisfied</t>
  </si>
  <si>
    <t>100%</t>
  </si>
  <si>
    <t>Deferred</t>
  </si>
  <si>
    <t>Intentionally removed from the active release</t>
  </si>
  <si>
    <t>Explain scope decision</t>
  </si>
  <si>
    <t>Recommended weekly rule: complete or consciously reschedule unfinished P0 work before pulling additional future features into the sprint.</t>
  </si>
  <si>
    <t>Task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</si>
</sst>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0.0"/>
  </numFmts>
  <fonts count="18">
    <font>
      <sz val="11"/>
      <name val="Carlito"/>
    </font>
    <font>
      <b/>
      <sz val="22"/>
      <color rgb="FFFFFFFF"/>
      <name val="Aptos Display"/>
    </font>
    <font>
      <sz val="10"/>
      <color rgb="FFE6E8EB"/>
      <name val="Aptos"/>
    </font>
    <font>
      <b/>
      <sz val="10"/>
      <color rgb="FFFFFFFF"/>
      <name val="Aptos"/>
    </font>
    <font>
      <sz val="9"/>
      <color rgb="FF25282D"/>
      <name val="Aptos"/>
    </font>
    <font>
      <b/>
      <sz val="14"/>
      <color rgb="FFFFFFFF"/>
      <name val="Aptos Display"/>
    </font>
    <font>
      <sz val="10"/>
      <color rgb="FF25282D"/>
      <name val="Aptos"/>
    </font>
    <font>
      <b/>
      <sz val="14"/>
      <color rgb="FFB3202E"/>
      <name val="Aptos Display"/>
    </font>
    <font>
      <b/>
      <sz val="10"/>
      <color rgb="FF25282D"/>
      <name val="Aptos"/>
    </font>
    <font>
      <b/>
      <sz val="13"/>
      <color rgb="FFFFFFFF"/>
      <name val="Aptos Display"/>
    </font>
    <font>
      <b/>
      <sz val="10"/>
      <color rgb="FFB3202E"/>
      <name val="Aptos"/>
    </font>
    <font>
      <b/>
      <sz val="11"/>
      <color rgb="FFB36A00"/>
      <name val="Aptos"/>
    </font>
    <font>
      <b/>
      <sz val="9"/>
      <color rgb="FFFFFFFF"/>
      <name val="Aptos"/>
    </font>
    <font>
      <b/>
      <sz val="11"/>
      <color rgb="FF25282D"/>
      <name val="Aptos Display"/>
    </font>
    <font>
      <b/>
      <sz val="12"/>
      <color rgb="FFFFFFFF"/>
      <name val="Aptos Display"/>
    </font>
    <font>
      <b/>
      <sz val="12"/>
      <color rgb="FFB3202E"/>
      <name val="Aptos"/>
    </font>
    <font>
      <b/>
      <sz val="12"/>
      <color rgb="FF25282D"/>
      <name val="Aptos Display"/>
    </font>
    <font>
      <b/>
      <sz val="10"/>
      <color rgb="FFB36A00"/>
      <name val="Aptos"/>
    </font>
  </fonts>
  <fills count="8">
    <fill>
      <patternFill patternType="none"/>
    </fill>
    <fill>
      <patternFill patternType="gray125"/>
    </fill>
    <fill>
      <patternFill patternType="solid">
        <fgColor rgb="FF111315"/>
      </patternFill>
    </fill>
    <fill>
      <patternFill patternType="solid">
        <fgColor rgb="FF1C2025"/>
      </patternFill>
    </fill>
    <fill>
      <patternFill patternType="solid">
        <fgColor rgb="FFB3202E"/>
      </patternFill>
    </fill>
    <fill>
      <patternFill patternType="solid">
        <fgColor rgb="FFF8E8EA"/>
      </patternFill>
    </fill>
    <fill>
      <patternFill patternType="solid">
        <fgColor rgb="FFFFF1D6"/>
      </patternFill>
    </fill>
    <fill>
      <patternFill patternType="solid">
        <fgColor rgb="FFF7F4EF"/>
      </patternFill>
    </fill>
  </fills>
  <borders count="28">
    <border>
      <left/>
      <right/>
      <top/>
      <bottom/>
      <diagonal/>
    </border>
    <border>
      <left/>
      <right/>
      <top/>
      <bottom style="medium">
        <color rgb="FFB3202E"/>
      </bottom>
      <diagonal/>
    </border>
    <border>
      <left/>
      <right/>
      <top/>
      <bottom style="thin">
        <color rgb="FFD7DCE2"/>
      </bottom>
      <diagonal/>
    </border>
    <border>
      <left/>
      <right/>
      <top style="thin">
        <color rgb="FFD7DCE2"/>
      </top>
      <bottom style="thin">
        <color rgb="FFD7DCE2"/>
      </bottom>
      <diagonal/>
    </border>
    <border>
      <left/>
      <right/>
      <top style="thin">
        <color rgb="FFD7DCE2"/>
      </top>
      <bottom/>
      <diagonal/>
    </border>
    <border>
      <left style="medium">
        <color rgb="FFB36A00"/>
      </left>
      <right/>
      <top style="medium">
        <color rgb="FFB36A00"/>
      </top>
      <bottom/>
      <diagonal/>
    </border>
    <border>
      <left/>
      <right/>
      <top style="medium">
        <color rgb="FFB36A00"/>
      </top>
      <bottom/>
      <diagonal/>
    </border>
    <border>
      <left/>
      <right style="medium">
        <color rgb="FFB36A00"/>
      </right>
      <top style="medium">
        <color rgb="FFB36A00"/>
      </top>
      <bottom/>
      <diagonal/>
    </border>
    <border>
      <left style="medium">
        <color rgb="FFB36A00"/>
      </left>
      <right/>
      <top/>
      <bottom/>
      <diagonal/>
    </border>
    <border>
      <left/>
      <right style="medium">
        <color rgb="FFB36A00"/>
      </right>
      <top/>
      <bottom/>
      <diagonal/>
    </border>
    <border>
      <left style="medium">
        <color rgb="FFB36A00"/>
      </left>
      <right/>
      <top/>
      <bottom style="medium">
        <color rgb="FFB36A00"/>
      </bottom>
      <diagonal/>
    </border>
    <border>
      <left/>
      <right/>
      <top/>
      <bottom style="medium">
        <color rgb="FFB36A00"/>
      </bottom>
      <diagonal/>
    </border>
    <border>
      <left/>
      <right style="medium">
        <color rgb="FFB36A00"/>
      </right>
      <top/>
      <bottom style="medium">
        <color rgb="FFB36A00"/>
      </bottom>
      <diagonal/>
    </border>
    <border>
      <left style="medium">
        <color rgb="FFD7DCE2"/>
      </left>
      <right/>
      <top style="medium">
        <color rgb="FFD7DCE2"/>
      </top>
      <bottom/>
      <diagonal/>
    </border>
    <border>
      <left/>
      <right/>
      <top style="medium">
        <color rgb="FFD7DCE2"/>
      </top>
      <bottom/>
      <diagonal/>
    </border>
    <border>
      <left/>
      <right style="medium">
        <color rgb="FFD7DCE2"/>
      </right>
      <top style="medium">
        <color rgb="FFD7DCE2"/>
      </top>
      <bottom/>
      <diagonal/>
    </border>
    <border>
      <left style="medium">
        <color rgb="FFD7DCE2"/>
      </left>
      <right/>
      <top/>
      <bottom/>
      <diagonal/>
    </border>
    <border>
      <left/>
      <right style="medium">
        <color rgb="FFD7DCE2"/>
      </right>
      <top/>
      <bottom/>
      <diagonal/>
    </border>
    <border>
      <left style="medium">
        <color rgb="FFD7DCE2"/>
      </left>
      <right/>
      <top/>
      <bottom style="medium">
        <color rgb="FFD7DCE2"/>
      </bottom>
      <diagonal/>
    </border>
    <border>
      <left/>
      <right/>
      <top/>
      <bottom style="medium">
        <color rgb="FFD7DCE2"/>
      </bottom>
      <diagonal/>
    </border>
    <border>
      <left/>
      <right style="medium">
        <color rgb="FFD7DCE2"/>
      </right>
      <top/>
      <bottom style="medium">
        <color rgb="FFD7DCE2"/>
      </bottom>
      <diagonal/>
    </border>
    <border>
      <left style="medium">
        <color rgb="FFB3202E"/>
      </left>
      <right/>
      <top style="medium">
        <color rgb="FFB3202E"/>
      </top>
      <bottom/>
      <diagonal/>
    </border>
    <border>
      <left/>
      <right/>
      <top style="medium">
        <color rgb="FFB3202E"/>
      </top>
      <bottom/>
      <diagonal/>
    </border>
    <border>
      <left/>
      <right style="medium">
        <color rgb="FFB3202E"/>
      </right>
      <top style="medium">
        <color rgb="FFB3202E"/>
      </top>
      <bottom/>
      <diagonal/>
    </border>
    <border>
      <left style="medium">
        <color rgb="FFB3202E"/>
      </left>
      <right/>
      <top/>
      <bottom/>
      <diagonal/>
    </border>
    <border>
      <left/>
      <right style="medium">
        <color rgb="FFB3202E"/>
      </right>
      <top/>
      <bottom/>
      <diagonal/>
    </border>
    <border>
      <left style="medium">
        <color rgb="FFB3202E"/>
      </left>
      <right/>
      <top/>
      <bottom style="medium">
        <color rgb="FFB3202E"/>
      </bottom>
      <diagonal/>
    </border>
    <border>
      <left/>
      <right style="medium">
        <color rgb="FFB3202E"/>
      </right>
      <top/>
      <bottom style="medium">
        <color rgb="FFB3202E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164" fontId="4" fillId="0" borderId="2" xfId="0" applyNumberFormat="1" applyFont="1" applyBorder="1" applyAlignment="1">
      <alignment vertical="top" wrapText="1"/>
    </xf>
    <xf numFmtId="164" fontId="4" fillId="0" borderId="3" xfId="0" applyNumberFormat="1" applyFont="1" applyBorder="1" applyAlignment="1">
      <alignment vertical="top" wrapText="1"/>
    </xf>
    <xf numFmtId="164" fontId="4" fillId="0" borderId="4" xfId="0" applyNumberFormat="1" applyFont="1" applyBorder="1" applyAlignment="1">
      <alignment vertical="top" wrapText="1"/>
    </xf>
    <xf numFmtId="9" fontId="4" fillId="0" borderId="2" xfId="0" applyNumberFormat="1" applyFont="1" applyBorder="1" applyAlignment="1">
      <alignment vertical="top" wrapText="1"/>
    </xf>
    <xf numFmtId="9" fontId="4" fillId="0" borderId="3" xfId="0" applyNumberFormat="1" applyFont="1" applyBorder="1" applyAlignment="1">
      <alignment vertical="top" wrapText="1"/>
    </xf>
    <xf numFmtId="9" fontId="4" fillId="0" borderId="4" xfId="0" applyNumberFormat="1" applyFont="1" applyBorder="1" applyAlignment="1">
      <alignment vertical="top" wrapText="1"/>
    </xf>
    <xf numFmtId="165" fontId="4" fillId="0" borderId="2" xfId="0" applyNumberFormat="1" applyFont="1" applyBorder="1" applyAlignment="1">
      <alignment vertical="top" wrapText="1"/>
    </xf>
    <xf numFmtId="165" fontId="4" fillId="0" borderId="3" xfId="0" applyNumberFormat="1" applyFont="1" applyBorder="1" applyAlignment="1">
      <alignment vertical="top" wrapText="1"/>
    </xf>
    <xf numFmtId="165" fontId="4" fillId="0" borderId="4" xfId="0" applyNumberFormat="1" applyFont="1" applyBorder="1" applyAlignment="1">
      <alignment vertical="top" wrapText="1"/>
    </xf>
    <xf numFmtId="1" fontId="4" fillId="0" borderId="2" xfId="0" applyNumberFormat="1" applyFont="1" applyBorder="1" applyAlignment="1">
      <alignment vertical="top" wrapText="1"/>
    </xf>
    <xf numFmtId="1" fontId="4" fillId="0" borderId="3" xfId="0" applyNumberFormat="1" applyFont="1" applyBorder="1" applyAlignment="1">
      <alignment vertical="top" wrapText="1"/>
    </xf>
    <xf numFmtId="1" fontId="4" fillId="0" borderId="4" xfId="0" applyNumberFormat="1" applyFont="1" applyBorder="1" applyAlignment="1">
      <alignment vertical="top" wrapText="1"/>
    </xf>
    <xf numFmtId="0" fontId="6" fillId="0" borderId="2" xfId="0" applyFont="1" applyBorder="1" applyAlignment="1">
      <alignment vertical="top" wrapText="1"/>
    </xf>
    <xf numFmtId="0" fontId="6" fillId="0" borderId="3" xfId="0" applyFont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7" fillId="5" borderId="2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vertical="top" wrapText="1"/>
    </xf>
    <xf numFmtId="0" fontId="8" fillId="0" borderId="3" xfId="0" applyFont="1" applyBorder="1" applyAlignment="1">
      <alignment vertical="top" wrapText="1"/>
    </xf>
    <xf numFmtId="0" fontId="8" fillId="0" borderId="4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4" fillId="0" borderId="0" xfId="0" applyFont="1" applyAlignment="1">
      <alignment wrapText="1"/>
    </xf>
    <xf numFmtId="0" fontId="12" fillId="3" borderId="0" xfId="0" applyFont="1" applyFill="1" applyAlignment="1">
      <alignment wrapText="1"/>
    </xf>
    <xf numFmtId="9" fontId="4" fillId="0" borderId="0" xfId="0" applyNumberFormat="1" applyFont="1" applyAlignment="1">
      <alignment wrapText="1"/>
    </xf>
    <xf numFmtId="165" fontId="4" fillId="0" borderId="0" xfId="0" applyNumberFormat="1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3" fillId="7" borderId="17" xfId="0" applyFont="1" applyFill="1" applyBorder="1" applyAlignment="1">
      <alignment horizontal="center" vertical="center" wrapText="1"/>
    </xf>
    <xf numFmtId="0" fontId="13" fillId="7" borderId="18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13" fillId="7" borderId="20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left" vertical="center"/>
    </xf>
    <xf numFmtId="0" fontId="9" fillId="4" borderId="0" xfId="0" applyFont="1" applyFill="1" applyAlignment="1">
      <alignment vertical="center"/>
    </xf>
    <xf numFmtId="0" fontId="14" fillId="3" borderId="0" xfId="0" applyFont="1" applyFill="1"/>
    <xf numFmtId="0" fontId="15" fillId="5" borderId="21" xfId="0" applyFont="1" applyFill="1" applyBorder="1" applyAlignment="1">
      <alignment horizontal="center" vertical="center" wrapText="1"/>
    </xf>
    <xf numFmtId="0" fontId="15" fillId="5" borderId="22" xfId="0" applyFont="1" applyFill="1" applyBorder="1" applyAlignment="1">
      <alignment horizontal="center" vertical="center" wrapText="1"/>
    </xf>
    <xf numFmtId="0" fontId="15" fillId="5" borderId="23" xfId="0" applyFont="1" applyFill="1" applyBorder="1" applyAlignment="1">
      <alignment horizontal="center" vertical="center" wrapText="1"/>
    </xf>
    <xf numFmtId="0" fontId="15" fillId="5" borderId="24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0" fontId="15" fillId="5" borderId="25" xfId="0" applyFont="1" applyFill="1" applyBorder="1" applyAlignment="1">
      <alignment horizontal="center" vertical="center" wrapText="1"/>
    </xf>
    <xf numFmtId="0" fontId="15" fillId="5" borderId="26" xfId="0" applyFont="1" applyFill="1" applyBorder="1" applyAlignment="1">
      <alignment horizontal="center" vertical="center" wrapText="1"/>
    </xf>
    <xf numFmtId="0" fontId="15" fillId="5" borderId="1" xfId="0" applyFont="1" applyFill="1" applyBorder="1" applyAlignment="1">
      <alignment horizontal="center" vertical="center" wrapText="1"/>
    </xf>
    <xf numFmtId="0" fontId="15" fillId="5" borderId="27" xfId="0" applyFont="1" applyFill="1" applyBorder="1" applyAlignment="1">
      <alignment horizontal="center" vertical="center" wrapText="1"/>
    </xf>
    <xf numFmtId="0" fontId="16" fillId="7" borderId="13" xfId="0" applyFont="1" applyFill="1" applyBorder="1" applyAlignment="1">
      <alignment horizontal="center" vertical="center" wrapText="1"/>
    </xf>
    <xf numFmtId="0" fontId="16" fillId="7" borderId="14" xfId="0" applyFont="1" applyFill="1" applyBorder="1" applyAlignment="1">
      <alignment horizontal="center" vertical="center" wrapText="1"/>
    </xf>
    <xf numFmtId="0" fontId="16" fillId="7" borderId="15" xfId="0" applyFont="1" applyFill="1" applyBorder="1" applyAlignment="1">
      <alignment horizontal="center" vertical="center" wrapText="1"/>
    </xf>
    <xf numFmtId="0" fontId="16" fillId="7" borderId="16" xfId="0" applyFont="1" applyFill="1" applyBorder="1" applyAlignment="1">
      <alignment horizontal="center" vertical="center" wrapText="1"/>
    </xf>
    <xf numFmtId="0" fontId="16" fillId="7" borderId="0" xfId="0" applyFont="1" applyFill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 wrapText="1"/>
    </xf>
    <xf numFmtId="0" fontId="16" fillId="7" borderId="18" xfId="0" applyFont="1" applyFill="1" applyBorder="1" applyAlignment="1">
      <alignment horizontal="center" vertical="center" wrapText="1"/>
    </xf>
    <xf numFmtId="0" fontId="16" fillId="7" borderId="19" xfId="0" applyFont="1" applyFill="1" applyBorder="1" applyAlignment="1">
      <alignment horizontal="center" vertical="center" wrapText="1"/>
    </xf>
    <xf numFmtId="0" fontId="16" fillId="7" borderId="20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17" fillId="6" borderId="0" xfId="0" applyFont="1" applyFill="1" applyAlignment="1">
      <alignment horizontal="center" vertical="center" wrapText="1"/>
    </xf>
    <xf numFmtId="0" fontId="17" fillId="6" borderId="9" xfId="0" applyFont="1" applyFill="1" applyBorder="1" applyAlignment="1">
      <alignment horizontal="center" vertical="center" wrapText="1"/>
    </xf>
    <xf numFmtId="0" fontId="17" fillId="6" borderId="10" xfId="0" applyFont="1" applyFill="1" applyBorder="1" applyAlignment="1">
      <alignment horizontal="center" vertical="center" wrapText="1"/>
    </xf>
    <xf numFmtId="0" fontId="17" fillId="6" borderId="11" xfId="0" applyFont="1" applyFill="1" applyBorder="1" applyAlignment="1">
      <alignment horizontal="center" vertical="center" wrapText="1"/>
    </xf>
    <xf numFmtId="0" fontId="17" fillId="6" borderId="12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vertical="center"/>
    </xf>
    <xf numFmtId="0" fontId="9" fillId="3" borderId="0" xfId="0" applyFont="1" applyFill="1"/>
    <xf numFmtId="0" fontId="11" fillId="6" borderId="5" xfId="0" applyFont="1" applyFill="1" applyBorder="1" applyAlignment="1">
      <alignment horizontal="center" vertical="center" wrapText="1"/>
    </xf>
    <xf numFmtId="0" fontId="11" fillId="6" borderId="6" xfId="0" applyFont="1" applyFill="1" applyBorder="1" applyAlignment="1">
      <alignment horizontal="center" vertical="center" wrapText="1"/>
    </xf>
    <xf numFmtId="0" fontId="11" fillId="6" borderId="7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/>
    </xf>
    <xf numFmtId="0" fontId="11" fillId="6" borderId="9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 vertical="center" wrapText="1"/>
    </xf>
    <xf numFmtId="0" fontId="11" fillId="6" borderId="11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font>
        <b/>
        <color rgb="FFB3202E"/>
      </font>
      <fill>
        <patternFill patternType="solid">
          <bgColor rgb="FFF8E8EA"/>
        </patternFill>
      </fill>
    </dxf>
    <dxf>
      <font>
        <b/>
        <color rgb="FFB36A00"/>
      </font>
      <fill>
        <patternFill patternType="solid">
          <bgColor rgb="FFFFF1D6"/>
        </patternFill>
      </fill>
    </dxf>
    <dxf>
      <font>
        <b/>
        <color rgb="FF315E8C"/>
      </font>
      <fill>
        <patternFill patternType="solid">
          <bgColor rgb="FFE8F0F8"/>
        </patternFill>
      </fill>
    </dxf>
    <dxf>
      <font>
        <b/>
        <color rgb="FF287A57"/>
      </font>
      <fill>
        <patternFill patternType="solid">
          <bgColor rgb="FFE6F4ED"/>
        </patternFill>
      </fill>
    </dxf>
    <dxf>
      <font>
        <b/>
        <color rgb="FFB3202E"/>
      </font>
      <fill>
        <patternFill patternType="solid">
          <bgColor rgb="FFF8E8EA"/>
        </patternFill>
      </fill>
    </dxf>
    <dxf>
      <font>
        <b/>
        <color rgb="FFB36A00"/>
      </font>
      <fill>
        <patternFill patternType="solid">
          <bgColor rgb="FFFFF1D6"/>
        </patternFill>
      </fill>
    </dxf>
    <dxf>
      <font>
        <b/>
        <color rgb="FF315E8C"/>
      </font>
      <fill>
        <patternFill patternType="solid">
          <bgColor rgb="FFE8F0F8"/>
        </patternFill>
      </fill>
    </dxf>
    <dxf>
      <font>
        <b/>
        <color rgb="FF287A57"/>
      </font>
      <fill>
        <patternFill patternType="solid">
          <bgColor rgb="FFE6F4ED"/>
        </patternFill>
      </fill>
    </dxf>
    <dxf>
      <font>
        <b/>
        <color rgb="FFB3202E"/>
      </font>
      <fill>
        <patternFill patternType="solid">
          <bgColor rgb="FFF8E8EA"/>
        </patternFill>
      </fill>
    </dxf>
    <dxf>
      <font>
        <b/>
        <color rgb="FF315E8C"/>
      </font>
      <fill>
        <patternFill patternType="solid">
          <bgColor rgb="FFE8F0F8"/>
        </patternFill>
      </fill>
    </dxf>
    <dxf>
      <font>
        <b/>
        <color rgb="FFB3202E"/>
      </font>
      <fill>
        <patternFill patternType="solid">
          <bgColor rgb="FFF8E8EA"/>
        </patternFill>
      </fill>
    </dxf>
    <dxf>
      <font>
        <b/>
        <color rgb="FFB36A00"/>
      </font>
      <fill>
        <patternFill patternType="solid">
          <bgColor rgb="FFFFF1D6"/>
        </patternFill>
      </fill>
    </dxf>
    <dxf>
      <font>
        <b/>
        <color rgb="FFB3202E"/>
      </font>
      <fill>
        <patternFill patternType="solid">
          <bgColor rgb="FFF8E8EA"/>
        </patternFill>
      </fill>
    </dxf>
    <dxf>
      <font>
        <b/>
        <color rgb="FF287A57"/>
      </font>
      <fill>
        <patternFill patternType="solid">
          <bgColor rgb="FFE6F4ED"/>
        </patternFill>
      </fill>
    </dxf>
    <dxf>
      <font>
        <b/>
        <color rgb="FF667085"/>
      </font>
      <fill>
        <patternFill patternType="solid">
          <bgColor rgb="FFEEF1F4"/>
        </patternFill>
      </fill>
    </dxf>
    <dxf>
      <font>
        <b/>
        <color rgb="FFB36A00"/>
      </font>
      <fill>
        <patternFill patternType="solid">
          <bgColor rgb="FFFFF1D6"/>
        </patternFill>
      </fill>
    </dxf>
    <dxf>
      <font>
        <b/>
        <color rgb="FFB3202E"/>
      </font>
      <fill>
        <patternFill patternType="solid">
          <bgColor rgb="FFF8E8EA"/>
        </patternFill>
      </fill>
    </dxf>
    <dxf>
      <font>
        <b/>
        <color rgb="FF315E8C"/>
      </font>
      <fill>
        <patternFill patternType="solid">
          <bgColor rgb="FFE8F0F8"/>
        </patternFill>
      </fill>
    </dxf>
    <dxf>
      <font>
        <b/>
        <color rgb="FF287A57"/>
      </font>
      <fill>
        <patternFill patternType="solid">
          <bgColor rgb="FFE6F4E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Tasks</c:v>
          </c:tx>
          <c:spPr>
            <a:solidFill>
              <a:srgbClr val="315E8C"/>
            </a:solidFill>
          </c:spPr>
          <c:invertIfNegative val="1"/>
          <c:cat>
            <c:strRef>
              <c:f>'Dashboard Data'!$A$2:$A$7</c:f>
              <c:strCache>
                <c:ptCount val="6"/>
                <c:pt idx="0">
                  <c:v>Not Started</c:v>
                </c:pt>
                <c:pt idx="1">
                  <c:v>In Progress</c:v>
                </c:pt>
                <c:pt idx="2">
                  <c:v>Blocked</c:v>
                </c:pt>
                <c:pt idx="3">
                  <c:v>Ready for Review</c:v>
                </c:pt>
                <c:pt idx="4">
                  <c:v>Complete</c:v>
                </c:pt>
                <c:pt idx="5">
                  <c:v>Deferred</c:v>
                </c:pt>
              </c:strCache>
            </c:strRef>
          </c:cat>
          <c:val>
            <c:numRef>
              <c:f>'Dashboard Data'!$B$2:$B$7</c:f>
              <c:numCache>
                <c:formatCode>General</c:formatCode>
                <c:ptCount val="6"/>
                <c:pt idx="0">
                  <c:v>205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D252-4C1E-BBB1-1B300DCFE0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sksTable" displayName="TasksTable" ref="A5:S212" totalsRowShown="0">
  <tableColumns count="19">
    <tableColumn id="1" xr3:uid="{00000000-0010-0000-0000-000001000000}" name="Task ID"/>
    <tableColumn id="2" xr3:uid="{00000000-0010-0000-0000-000002000000}" name="Phase"/>
    <tableColumn id="3" xr3:uid="{00000000-0010-0000-0000-000003000000}" name="Week"/>
    <tableColumn id="4" xr3:uid="{00000000-0010-0000-0000-000004000000}" name="Category"/>
    <tableColumn id="5" xr3:uid="{00000000-0010-0000-0000-000005000000}" name="Task"/>
    <tableColumn id="6" xr3:uid="{00000000-0010-0000-0000-000006000000}" name="Completion Criteria"/>
    <tableColumn id="7" xr3:uid="{00000000-0010-0000-0000-000007000000}" name="Start Date"/>
    <tableColumn id="8" xr3:uid="{00000000-0010-0000-0000-000008000000}" name="Due Date"/>
    <tableColumn id="9" xr3:uid="{00000000-0010-0000-0000-000009000000}" name="Priority"/>
    <tableColumn id="10" xr3:uid="{00000000-0010-0000-0000-00000A000000}" name="Status"/>
    <tableColumn id="11" xr3:uid="{00000000-0010-0000-0000-00000B000000}" name="Progress %"/>
    <tableColumn id="12" xr3:uid="{00000000-0010-0000-0000-00000C000000}" name="Est. Hours"/>
    <tableColumn id="13" xr3:uid="{00000000-0010-0000-0000-00000D000000}" name="Actual Hours"/>
    <tableColumn id="14" xr3:uid="{00000000-0010-0000-0000-00000E000000}" name="Dependency"/>
    <tableColumn id="15" xr3:uid="{00000000-0010-0000-0000-00000F000000}" name="Owner"/>
    <tableColumn id="16" xr3:uid="{00000000-0010-0000-0000-000010000000}" name="Days Remaining"/>
    <tableColumn id="17" xr3:uid="{00000000-0010-0000-0000-000011000000}" name="Health"/>
    <tableColumn id="18" xr3:uid="{00000000-0010-0000-0000-000012000000}" name="Evidence / Link"/>
    <tableColumn id="19" xr3:uid="{00000000-0010-0000-0000-000013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lyPlanTable" displayName="WeeklyPlanTable" ref="A5:N21" totalsRowShown="0">
  <tableColumns count="14">
    <tableColumn id="1" xr3:uid="{00000000-0010-0000-0100-000001000000}" name="Week"/>
    <tableColumn id="2" xr3:uid="{00000000-0010-0000-0100-000002000000}" name="Start"/>
    <tableColumn id="3" xr3:uid="{00000000-0010-0000-0100-000003000000}" name="End"/>
    <tableColumn id="4" xr3:uid="{00000000-0010-0000-0100-000004000000}" name="Focus"/>
    <tableColumn id="5" xr3:uid="{00000000-0010-0000-0100-000005000000}" name="Milestone"/>
    <tableColumn id="6" xr3:uid="{00000000-0010-0000-0100-000006000000}" name="Planned Tasks"/>
    <tableColumn id="7" xr3:uid="{00000000-0010-0000-0100-000007000000}" name="Complete"/>
    <tableColumn id="8" xr3:uid="{00000000-0010-0000-0100-000008000000}" name="Completion %"/>
    <tableColumn id="9" xr3:uid="{00000000-0010-0000-0100-000009000000}" name="Est. Hours"/>
    <tableColumn id="10" xr3:uid="{00000000-0010-0000-0100-00000A000000}" name="Capacity Hours"/>
    <tableColumn id="11" xr3:uid="{00000000-0010-0000-0100-00000B000000}" name="Capacity Gap"/>
    <tableColumn id="12" xr3:uid="{00000000-0010-0000-0100-00000C000000}" name="Actual Hours"/>
    <tableColumn id="13" xr3:uid="{00000000-0010-0000-0100-00000D000000}" name="Hours Variance"/>
    <tableColumn id="14" xr3:uid="{00000000-0010-0000-0100-00000E000000}" name="Weekly Review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DocumentationTable" displayName="DocumentationTable" ref="A5:J42" totalsRowShown="0">
  <tableColumns count="10">
    <tableColumn id="1" xr3:uid="{00000000-0010-0000-0200-000001000000}" name="Doc ID"/>
    <tableColumn id="2" xr3:uid="{00000000-0010-0000-0200-000002000000}" name="Document"/>
    <tableColumn id="3" xr3:uid="{00000000-0010-0000-0200-000003000000}" name="Purpose"/>
    <tableColumn id="4" xr3:uid="{00000000-0010-0000-0200-000004000000}" name="Target Week"/>
    <tableColumn id="5" xr3:uid="{00000000-0010-0000-0200-000005000000}" name="Due Date"/>
    <tableColumn id="6" xr3:uid="{00000000-0010-0000-0200-000006000000}" name="Status"/>
    <tableColumn id="7" xr3:uid="{00000000-0010-0000-0200-000007000000}" name="Reviewer"/>
    <tableColumn id="8" xr3:uid="{00000000-0010-0000-0200-000008000000}" name="Last Updated"/>
    <tableColumn id="9" xr3:uid="{00000000-0010-0000-0200-000009000000}" name="Evidence / Link"/>
    <tableColumn id="10" xr3:uid="{00000000-0010-0000-0200-00000A000000}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ResearchTable" displayName="ResearchTable" ref="A5:L21" totalsRowShown="0">
  <tableColumns count="12">
    <tableColumn id="1" xr3:uid="{00000000-0010-0000-0300-000001000000}" name="Research ID"/>
    <tableColumn id="2" xr3:uid="{00000000-0010-0000-0300-000002000000}" name="Stream"/>
    <tableColumn id="3" xr3:uid="{00000000-0010-0000-0300-000003000000}" name="Question"/>
    <tableColumn id="4" xr3:uid="{00000000-0010-0000-0300-000004000000}" name="Suggested Method"/>
    <tableColumn id="5" xr3:uid="{00000000-0010-0000-0300-000005000000}" name="Target Week"/>
    <tableColumn id="6" xr3:uid="{00000000-0010-0000-0300-000006000000}" name="Due Date"/>
    <tableColumn id="7" xr3:uid="{00000000-0010-0000-0300-000007000000}" name="Status"/>
    <tableColumn id="8" xr3:uid="{00000000-0010-0000-0300-000008000000}" name="Source URL"/>
    <tableColumn id="9" xr3:uid="{00000000-0010-0000-0300-000009000000}" name="Finding"/>
    <tableColumn id="10" xr3:uid="{00000000-0010-0000-0300-00000A000000}" name="Decision / Impact"/>
    <tableColumn id="11" xr3:uid="{00000000-0010-0000-0300-00000B000000}" name="Reviewed On"/>
    <tableColumn id="12" xr3:uid="{00000000-0010-0000-0300-00000C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showGridLines="0" workbookViewId="0">
      <selection activeCell="D5" sqref="D5:F7"/>
    </sheetView>
  </sheetViews>
  <sheetFormatPr defaultRowHeight="14.25"/>
  <cols>
    <col min="1" max="1" width="9" customWidth="1"/>
    <col min="2" max="2" width="30" customWidth="1"/>
    <col min="3" max="5" width="12" customWidth="1"/>
    <col min="6" max="6" width="13" customWidth="1"/>
    <col min="7" max="7" width="4" customWidth="1"/>
    <col min="8" max="12" width="16" customWidth="1"/>
  </cols>
  <sheetData>
    <row r="1" spans="1:12" ht="21.95" customHeight="1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1.95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21.95" customHeight="1">
      <c r="A3" s="34" t="s">
        <v>1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4" spans="1:12" ht="21.95" customHeight="1"/>
    <row r="5" spans="1:12" ht="21.95" customHeight="1">
      <c r="A5" s="35" t="str">
        <f>"TOTAL TASKS"&amp;CHAR(10)&amp;COUNTA('Task Tracker'!$A$6:$A$212)</f>
        <v>TOTAL TASKS
207</v>
      </c>
      <c r="B5" s="36"/>
      <c r="C5" s="37"/>
      <c r="D5" s="35" t="str">
        <f>"COMPLETE"&amp;CHAR(10)&amp;COUNTIF('Task Tracker'!$J$6:$J$212,"Complete")</f>
        <v>COMPLETE
2</v>
      </c>
      <c r="E5" s="36"/>
      <c r="F5" s="37"/>
      <c r="G5" s="35" t="str">
        <f>"OVERALL PROGRESS"&amp;CHAR(10)&amp;TEXT(AVERAGE('Task Tracker'!$K$6:$K$212),"0%")</f>
        <v>OVERALL PROGRESS
1%</v>
      </c>
      <c r="H5" s="36"/>
      <c r="I5" s="37"/>
      <c r="J5" s="35" t="str">
        <f ca="1">"OVERDUE"&amp;CHAR(10)&amp;COUNTIF('Task Tracker'!$Q$6:$Q$212,"Overdue")</f>
        <v>OVERDUE
0</v>
      </c>
      <c r="K5" s="36"/>
      <c r="L5" s="37"/>
    </row>
    <row r="6" spans="1:12" ht="21.95" customHeight="1">
      <c r="A6" s="38"/>
      <c r="B6" s="39"/>
      <c r="C6" s="40"/>
      <c r="D6" s="38"/>
      <c r="E6" s="39"/>
      <c r="F6" s="40"/>
      <c r="G6" s="38"/>
      <c r="H6" s="39"/>
      <c r="I6" s="40"/>
      <c r="J6" s="38"/>
      <c r="K6" s="39"/>
      <c r="L6" s="40"/>
    </row>
    <row r="7" spans="1:12" ht="21.95" customHeight="1">
      <c r="A7" s="41"/>
      <c r="B7" s="42"/>
      <c r="C7" s="43"/>
      <c r="D7" s="41"/>
      <c r="E7" s="42"/>
      <c r="F7" s="43"/>
      <c r="G7" s="41"/>
      <c r="H7" s="42"/>
      <c r="I7" s="43"/>
      <c r="J7" s="41"/>
      <c r="K7" s="42"/>
      <c r="L7" s="43"/>
    </row>
    <row r="8" spans="1:12" ht="21.95" customHeight="1"/>
    <row r="9" spans="1:12" ht="21.95" customHeight="1">
      <c r="A9" s="44" t="s">
        <v>2</v>
      </c>
      <c r="B9" s="44"/>
      <c r="C9" s="44"/>
      <c r="D9" s="44"/>
      <c r="E9" s="44"/>
      <c r="F9" s="44"/>
      <c r="G9" s="44" t="s">
        <v>3</v>
      </c>
      <c r="H9" s="44"/>
      <c r="I9" s="44"/>
      <c r="J9" s="44"/>
      <c r="K9" s="44"/>
      <c r="L9" s="44"/>
    </row>
    <row r="10" spans="1:12" ht="21.95" customHeight="1">
      <c r="A10" s="1" t="s">
        <v>4</v>
      </c>
      <c r="B10" s="1" t="s">
        <v>5</v>
      </c>
      <c r="C10" s="1" t="s">
        <v>6</v>
      </c>
      <c r="D10" s="1" t="s">
        <v>7</v>
      </c>
      <c r="E10" s="1" t="s">
        <v>8</v>
      </c>
      <c r="F10" s="1" t="s">
        <v>9</v>
      </c>
    </row>
    <row r="11" spans="1:12" ht="21.95" customHeight="1">
      <c r="A11" s="2" t="str">
        <f>'Dashboard Data'!D2</f>
        <v>Discovery &amp; Scope</v>
      </c>
      <c r="B11" s="2">
        <f>COUNTIF('Task Tracker'!$B$6:$B$212,A11)</f>
        <v>17</v>
      </c>
      <c r="C11" s="2">
        <f>COUNTIFS('Task Tracker'!$B$6:$B$212,A11,'Task Tracker'!$J$6:$J$212,"Complete")</f>
        <v>2</v>
      </c>
      <c r="D11" s="8">
        <f>'Dashboard Data'!E2</f>
        <v>0.11764705882352941</v>
      </c>
      <c r="E11" s="11">
        <f>SUMIF('Task Tracker'!$B$6:$B$212,A11,'Task Tracker'!$L$6:$L$212)</f>
        <v>36</v>
      </c>
      <c r="F11" s="2" t="str">
        <f t="shared" ref="F11:F18" si="0">IF(D11=1,"Complete",IF(D11&gt;0,"In Progress","Not Started"))</f>
        <v>In Progress</v>
      </c>
    </row>
    <row r="12" spans="1:12" ht="21.95" customHeight="1">
      <c r="A12" s="3" t="str">
        <f>'Dashboard Data'!D3</f>
        <v>UX &amp; Product Design</v>
      </c>
      <c r="B12" s="3">
        <f>COUNTIF('Task Tracker'!$B$6:$B$212,A12)</f>
        <v>14</v>
      </c>
      <c r="C12" s="3">
        <f>COUNTIFS('Task Tracker'!$B$6:$B$212,A12,'Task Tracker'!$J$6:$J$212,"Complete")</f>
        <v>0</v>
      </c>
      <c r="D12" s="9">
        <f>'Dashboard Data'!E3</f>
        <v>0</v>
      </c>
      <c r="E12" s="12">
        <f>SUMIF('Task Tracker'!$B$6:$B$212,A12,'Task Tracker'!$L$6:$L$212)</f>
        <v>41.5</v>
      </c>
      <c r="F12" s="3" t="str">
        <f t="shared" si="0"/>
        <v>Not Started</v>
      </c>
    </row>
    <row r="13" spans="1:12" ht="21.95" customHeight="1">
      <c r="A13" s="3" t="str">
        <f>'Dashboard Data'!D4</f>
        <v>Technical Design</v>
      </c>
      <c r="B13" s="3">
        <f>COUNTIF('Task Tracker'!$B$6:$B$212,A13)</f>
        <v>15</v>
      </c>
      <c r="C13" s="3">
        <f>COUNTIFS('Task Tracker'!$B$6:$B$212,A13,'Task Tracker'!$J$6:$J$212,"Complete")</f>
        <v>0</v>
      </c>
      <c r="D13" s="9">
        <f>'Dashboard Data'!E4</f>
        <v>0</v>
      </c>
      <c r="E13" s="12">
        <f>SUMIF('Task Tracker'!$B$6:$B$212,A13,'Task Tracker'!$L$6:$L$212)</f>
        <v>47.5</v>
      </c>
      <c r="F13" s="3" t="str">
        <f t="shared" si="0"/>
        <v>Not Started</v>
      </c>
    </row>
    <row r="14" spans="1:12" ht="21.95" customHeight="1">
      <c r="A14" s="3" t="str">
        <f>'Dashboard Data'!D5</f>
        <v>Foundation &amp; Data</v>
      </c>
      <c r="B14" s="3">
        <f>COUNTIF('Task Tracker'!$B$6:$B$212,A14)</f>
        <v>24</v>
      </c>
      <c r="C14" s="3">
        <f>COUNTIFS('Task Tracker'!$B$6:$B$212,A14,'Task Tracker'!$J$6:$J$212,"Complete")</f>
        <v>0</v>
      </c>
      <c r="D14" s="9">
        <f>'Dashboard Data'!E5</f>
        <v>0</v>
      </c>
      <c r="E14" s="12">
        <f>SUMIF('Task Tracker'!$B$6:$B$212,A14,'Task Tracker'!$L$6:$L$212)</f>
        <v>80.5</v>
      </c>
      <c r="F14" s="3" t="str">
        <f t="shared" si="0"/>
        <v>Not Started</v>
      </c>
    </row>
    <row r="15" spans="1:12" ht="21.95" customHeight="1">
      <c r="A15" s="3" t="str">
        <f>'Dashboard Data'!D6</f>
        <v>Football Core</v>
      </c>
      <c r="B15" s="3">
        <f>COUNTIF('Task Tracker'!$B$6:$B$212,A15)</f>
        <v>22</v>
      </c>
      <c r="C15" s="3">
        <f>COUNTIFS('Task Tracker'!$B$6:$B$212,A15,'Task Tracker'!$J$6:$J$212,"Complete")</f>
        <v>0</v>
      </c>
      <c r="D15" s="9">
        <f>'Dashboard Data'!E6</f>
        <v>0</v>
      </c>
      <c r="E15" s="12">
        <f>SUMIF('Task Tracker'!$B$6:$B$212,A15,'Task Tracker'!$L$6:$L$212)</f>
        <v>79</v>
      </c>
      <c r="F15" s="3" t="str">
        <f t="shared" si="0"/>
        <v>Not Started</v>
      </c>
    </row>
    <row r="16" spans="1:12" ht="21.95" customHeight="1">
      <c r="A16" s="3" t="str">
        <f>'Dashboard Data'!D7</f>
        <v>Accounts &amp; Community</v>
      </c>
      <c r="B16" s="3">
        <f>COUNTIF('Task Tracker'!$B$6:$B$212,A16)</f>
        <v>38</v>
      </c>
      <c r="C16" s="3">
        <f>COUNTIFS('Task Tracker'!$B$6:$B$212,A16,'Task Tracker'!$J$6:$J$212,"Complete")</f>
        <v>0</v>
      </c>
      <c r="D16" s="9">
        <f>'Dashboard Data'!E7</f>
        <v>0</v>
      </c>
      <c r="E16" s="12">
        <f>SUMIF('Task Tracker'!$B$6:$B$212,A16,'Task Tracker'!$L$6:$L$212)</f>
        <v>151.5</v>
      </c>
      <c r="F16" s="3" t="str">
        <f t="shared" si="0"/>
        <v>Not Started</v>
      </c>
    </row>
    <row r="17" spans="1:12" ht="21.95" customHeight="1">
      <c r="A17" s="3" t="str">
        <f>'Dashboard Data'!D8</f>
        <v>ML &amp; Notifications</v>
      </c>
      <c r="B17" s="3">
        <f>COUNTIF('Task Tracker'!$B$6:$B$212,A17)</f>
        <v>37</v>
      </c>
      <c r="C17" s="3">
        <f>COUNTIFS('Task Tracker'!$B$6:$B$212,A17,'Task Tracker'!$J$6:$J$212,"Complete")</f>
        <v>0</v>
      </c>
      <c r="D17" s="9">
        <f>'Dashboard Data'!E8</f>
        <v>0</v>
      </c>
      <c r="E17" s="12">
        <f>SUMIF('Task Tracker'!$B$6:$B$212,A17,'Task Tracker'!$L$6:$L$212)</f>
        <v>137</v>
      </c>
      <c r="F17" s="3" t="str">
        <f t="shared" si="0"/>
        <v>Not Started</v>
      </c>
    </row>
    <row r="18" spans="1:12" ht="21.95" customHeight="1">
      <c r="A18" s="4" t="str">
        <f>'Dashboard Data'!D9</f>
        <v>Release &amp; Portfolio</v>
      </c>
      <c r="B18" s="4">
        <f>COUNTIF('Task Tracker'!$B$6:$B$212,A18)</f>
        <v>40</v>
      </c>
      <c r="C18" s="4">
        <f>COUNTIFS('Task Tracker'!$B$6:$B$212,A18,'Task Tracker'!$J$6:$J$212,"Complete")</f>
        <v>0</v>
      </c>
      <c r="D18" s="10">
        <f>'Dashboard Data'!E9</f>
        <v>0</v>
      </c>
      <c r="E18" s="13">
        <f>SUMIF('Task Tracker'!$B$6:$B$212,A18,'Task Tracker'!$L$6:$L$212)</f>
        <v>166</v>
      </c>
      <c r="F18" s="4" t="str">
        <f t="shared" si="0"/>
        <v>Not Started</v>
      </c>
    </row>
    <row r="19" spans="1:12" ht="21.95" customHeight="1"/>
    <row r="20" spans="1:12" ht="21.95" customHeight="1"/>
    <row r="21" spans="1:12" ht="21.95" customHeight="1"/>
    <row r="22" spans="1:12" ht="21.95" customHeight="1"/>
    <row r="23" spans="1:12" ht="21.95" customHeight="1"/>
    <row r="24" spans="1:12" ht="21.95" customHeight="1"/>
    <row r="25" spans="1:12" ht="21.95" customHeight="1"/>
    <row r="26" spans="1:12" ht="21.95" customHeight="1"/>
    <row r="27" spans="1:12" ht="21.95" customHeight="1">
      <c r="A27" s="45" t="s">
        <v>10</v>
      </c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</row>
    <row r="28" spans="1:12" ht="21.95" customHeight="1"/>
    <row r="29" spans="1:12" ht="21.95" customHeight="1">
      <c r="A29" s="1" t="s">
        <v>11</v>
      </c>
      <c r="B29" s="1" t="s">
        <v>12</v>
      </c>
      <c r="C29" s="1" t="s">
        <v>13</v>
      </c>
      <c r="D29" s="1" t="s">
        <v>6</v>
      </c>
      <c r="E29" s="1" t="s">
        <v>7</v>
      </c>
      <c r="F29" s="1" t="s">
        <v>14</v>
      </c>
      <c r="H29" s="46" t="s">
        <v>15</v>
      </c>
      <c r="I29" s="46"/>
      <c r="J29" s="46"/>
      <c r="K29" s="46"/>
      <c r="L29" s="46"/>
    </row>
    <row r="30" spans="1:12" ht="21.95" customHeight="1">
      <c r="A30" s="2">
        <f>'Weekly Plan'!A6</f>
        <v>1</v>
      </c>
      <c r="B30" s="2" t="str">
        <f>'Weekly Plan'!D6</f>
        <v>Research and definition</v>
      </c>
      <c r="C30" s="2">
        <f>'Weekly Plan'!F6</f>
        <v>17</v>
      </c>
      <c r="D30" s="2">
        <f>'Weekly Plan'!G6</f>
        <v>2</v>
      </c>
      <c r="E30" s="8">
        <f>'Weekly Plan'!H6</f>
        <v>0.11764705882352941</v>
      </c>
      <c r="F30" s="11">
        <f>'Weekly Plan'!I6</f>
        <v>36</v>
      </c>
      <c r="H30" s="47" t="s">
        <v>16</v>
      </c>
      <c r="I30" s="48"/>
      <c r="J30" s="48"/>
      <c r="K30" s="48"/>
      <c r="L30" s="49"/>
    </row>
    <row r="31" spans="1:12" ht="21.95" customHeight="1">
      <c r="A31" s="3">
        <f>'Weekly Plan'!A7</f>
        <v>2</v>
      </c>
      <c r="B31" s="3" t="str">
        <f>'Weekly Plan'!D7</f>
        <v>UX and interface design</v>
      </c>
      <c r="C31" s="3">
        <f>'Weekly Plan'!F7</f>
        <v>14</v>
      </c>
      <c r="D31" s="3">
        <f>'Weekly Plan'!G7</f>
        <v>0</v>
      </c>
      <c r="E31" s="9">
        <f>'Weekly Plan'!H7</f>
        <v>0</v>
      </c>
      <c r="F31" s="12">
        <f>'Weekly Plan'!I7</f>
        <v>41.5</v>
      </c>
      <c r="H31" s="50"/>
      <c r="I31" s="51"/>
      <c r="J31" s="51"/>
      <c r="K31" s="51"/>
      <c r="L31" s="52"/>
    </row>
    <row r="32" spans="1:12" ht="21.95" customHeight="1">
      <c r="A32" s="3">
        <f>'Weekly Plan'!A8</f>
        <v>3</v>
      </c>
      <c r="B32" s="3" t="str">
        <f>'Weekly Plan'!D8</f>
        <v>Technical and security design</v>
      </c>
      <c r="C32" s="3">
        <f>'Weekly Plan'!F8</f>
        <v>15</v>
      </c>
      <c r="D32" s="3">
        <f>'Weekly Plan'!G8</f>
        <v>0</v>
      </c>
      <c r="E32" s="9">
        <f>'Weekly Plan'!H8</f>
        <v>0</v>
      </c>
      <c r="F32" s="12">
        <f>'Weekly Plan'!I8</f>
        <v>47.5</v>
      </c>
      <c r="H32" s="50"/>
      <c r="I32" s="51"/>
      <c r="J32" s="51"/>
      <c r="K32" s="51"/>
      <c r="L32" s="52"/>
    </row>
    <row r="33" spans="1:12" ht="21.95" customHeight="1">
      <c r="A33" s="3">
        <f>'Weekly Plan'!A9</f>
        <v>4</v>
      </c>
      <c r="B33" s="3" t="str">
        <f>'Weekly Plan'!D9</f>
        <v>Project foundation</v>
      </c>
      <c r="C33" s="3">
        <f>'Weekly Plan'!F9</f>
        <v>12</v>
      </c>
      <c r="D33" s="3">
        <f>'Weekly Plan'!G9</f>
        <v>0</v>
      </c>
      <c r="E33" s="9">
        <f>'Weekly Plan'!H9</f>
        <v>0</v>
      </c>
      <c r="F33" s="12">
        <f>'Weekly Plan'!I9</f>
        <v>36.5</v>
      </c>
      <c r="H33" s="50"/>
      <c r="I33" s="51"/>
      <c r="J33" s="51"/>
      <c r="K33" s="51"/>
      <c r="L33" s="52"/>
    </row>
    <row r="34" spans="1:12" ht="21.95" customHeight="1">
      <c r="A34" s="3">
        <f>'Weekly Plan'!A10</f>
        <v>5</v>
      </c>
      <c r="B34" s="3" t="str">
        <f>'Weekly Plan'!D10</f>
        <v>Football data integration</v>
      </c>
      <c r="C34" s="3">
        <f>'Weekly Plan'!F10</f>
        <v>12</v>
      </c>
      <c r="D34" s="3">
        <f>'Weekly Plan'!G10</f>
        <v>0</v>
      </c>
      <c r="E34" s="9">
        <f>'Weekly Plan'!H10</f>
        <v>0</v>
      </c>
      <c r="F34" s="12">
        <f>'Weekly Plan'!I10</f>
        <v>44</v>
      </c>
      <c r="H34" s="50"/>
      <c r="I34" s="51"/>
      <c r="J34" s="51"/>
      <c r="K34" s="51"/>
      <c r="L34" s="52"/>
    </row>
    <row r="35" spans="1:12" ht="21.95" customHeight="1">
      <c r="A35" s="3">
        <f>'Weekly Plan'!A11</f>
        <v>6</v>
      </c>
      <c r="B35" s="3" t="str">
        <f>'Weekly Plan'!D11</f>
        <v>Football information pages</v>
      </c>
      <c r="C35" s="3">
        <f>'Weekly Plan'!F11</f>
        <v>11</v>
      </c>
      <c r="D35" s="3">
        <f>'Weekly Plan'!G11</f>
        <v>0</v>
      </c>
      <c r="E35" s="9">
        <f>'Weekly Plan'!H11</f>
        <v>0</v>
      </c>
      <c r="F35" s="12">
        <f>'Weekly Plan'!I11</f>
        <v>40</v>
      </c>
      <c r="H35" s="53"/>
      <c r="I35" s="54"/>
      <c r="J35" s="54"/>
      <c r="K35" s="54"/>
      <c r="L35" s="55"/>
    </row>
    <row r="36" spans="1:12" ht="21.95" customHeight="1">
      <c r="A36" s="3">
        <f>'Weekly Plan'!A12</f>
        <v>7</v>
      </c>
      <c r="B36" s="3" t="str">
        <f>'Weekly Plan'!D12</f>
        <v>Live match centre</v>
      </c>
      <c r="C36" s="3">
        <f>'Weekly Plan'!F12</f>
        <v>11</v>
      </c>
      <c r="D36" s="3">
        <f>'Weekly Plan'!G12</f>
        <v>0</v>
      </c>
      <c r="E36" s="9">
        <f>'Weekly Plan'!H12</f>
        <v>0</v>
      </c>
      <c r="F36" s="12">
        <f>'Weekly Plan'!I12</f>
        <v>39</v>
      </c>
    </row>
    <row r="37" spans="1:12" ht="21.95" customHeight="1">
      <c r="A37" s="3">
        <f>'Weekly Plan'!A13</f>
        <v>8</v>
      </c>
      <c r="B37" s="3" t="str">
        <f>'Weekly Plan'!D13</f>
        <v>Authentication and personalisation</v>
      </c>
      <c r="C37" s="3">
        <f>'Weekly Plan'!F13</f>
        <v>12</v>
      </c>
      <c r="D37" s="3">
        <f>'Weekly Plan'!G13</f>
        <v>0</v>
      </c>
      <c r="E37" s="9">
        <f>'Weekly Plan'!H13</f>
        <v>0</v>
      </c>
      <c r="F37" s="12">
        <f>'Weekly Plan'!I13</f>
        <v>45.5</v>
      </c>
      <c r="H37" s="46" t="s">
        <v>17</v>
      </c>
      <c r="I37" s="46"/>
      <c r="J37" s="46"/>
      <c r="K37" s="46"/>
      <c r="L37" s="46"/>
    </row>
    <row r="38" spans="1:12" ht="21.95" customHeight="1">
      <c r="A38" s="3">
        <f>'Weekly Plan'!A14</f>
        <v>9</v>
      </c>
      <c r="B38" s="3" t="str">
        <f>'Weekly Plan'!D14</f>
        <v>Community platform</v>
      </c>
      <c r="C38" s="3">
        <f>'Weekly Plan'!F14</f>
        <v>12</v>
      </c>
      <c r="D38" s="3">
        <f>'Weekly Plan'!G14</f>
        <v>0</v>
      </c>
      <c r="E38" s="9">
        <f>'Weekly Plan'!H14</f>
        <v>0</v>
      </c>
      <c r="F38" s="12">
        <f>'Weekly Plan'!I14</f>
        <v>48</v>
      </c>
      <c r="H38" s="56" t="s">
        <v>18</v>
      </c>
      <c r="I38" s="57"/>
      <c r="J38" s="57"/>
      <c r="K38" s="57"/>
      <c r="L38" s="58"/>
    </row>
    <row r="39" spans="1:12" ht="21.95" customHeight="1">
      <c r="A39" s="3">
        <f>'Weekly Plan'!A15</f>
        <v>10</v>
      </c>
      <c r="B39" s="3" t="str">
        <f>'Weekly Plan'!D15</f>
        <v>Moderation and safety</v>
      </c>
      <c r="C39" s="3">
        <f>'Weekly Plan'!F15</f>
        <v>14</v>
      </c>
      <c r="D39" s="3">
        <f>'Weekly Plan'!G15</f>
        <v>0</v>
      </c>
      <c r="E39" s="9">
        <f>'Weekly Plan'!H15</f>
        <v>0</v>
      </c>
      <c r="F39" s="12">
        <f>'Weekly Plan'!I15</f>
        <v>58</v>
      </c>
      <c r="H39" s="59"/>
      <c r="I39" s="60"/>
      <c r="J39" s="60"/>
      <c r="K39" s="60"/>
      <c r="L39" s="61"/>
    </row>
    <row r="40" spans="1:12" ht="21.95" customHeight="1">
      <c r="A40" s="3">
        <f>'Weekly Plan'!A16</f>
        <v>11</v>
      </c>
      <c r="B40" s="3" t="str">
        <f>'Weekly Plan'!D16</f>
        <v>ML dataset and baseline</v>
      </c>
      <c r="C40" s="3">
        <f>'Weekly Plan'!F16</f>
        <v>12</v>
      </c>
      <c r="D40" s="3">
        <f>'Weekly Plan'!G16</f>
        <v>0</v>
      </c>
      <c r="E40" s="9">
        <f>'Weekly Plan'!H16</f>
        <v>0</v>
      </c>
      <c r="F40" s="12">
        <f>'Weekly Plan'!I16</f>
        <v>40</v>
      </c>
      <c r="H40" s="59"/>
      <c r="I40" s="60"/>
      <c r="J40" s="60"/>
      <c r="K40" s="60"/>
      <c r="L40" s="61"/>
    </row>
    <row r="41" spans="1:12" ht="21.95" customHeight="1">
      <c r="A41" s="3">
        <f>'Weekly Plan'!A17</f>
        <v>12</v>
      </c>
      <c r="B41" s="3" t="str">
        <f>'Weekly Plan'!D17</f>
        <v>Improved ML and integration</v>
      </c>
      <c r="C41" s="3">
        <f>'Weekly Plan'!F17</f>
        <v>12</v>
      </c>
      <c r="D41" s="3">
        <f>'Weekly Plan'!G17</f>
        <v>0</v>
      </c>
      <c r="E41" s="9">
        <f>'Weekly Plan'!H17</f>
        <v>0</v>
      </c>
      <c r="F41" s="12">
        <f>'Weekly Plan'!I17</f>
        <v>46</v>
      </c>
      <c r="H41" s="62"/>
      <c r="I41" s="63"/>
      <c r="J41" s="63"/>
      <c r="K41" s="63"/>
      <c r="L41" s="64"/>
    </row>
    <row r="42" spans="1:12" ht="21.95" customHeight="1">
      <c r="A42" s="3">
        <f>'Weekly Plan'!A18</f>
        <v>13</v>
      </c>
      <c r="B42" s="3" t="str">
        <f>'Weekly Plan'!D18</f>
        <v>Notifications and official links</v>
      </c>
      <c r="C42" s="3">
        <f>'Weekly Plan'!F18</f>
        <v>13</v>
      </c>
      <c r="D42" s="3">
        <f>'Weekly Plan'!G18</f>
        <v>0</v>
      </c>
      <c r="E42" s="9">
        <f>'Weekly Plan'!H18</f>
        <v>0</v>
      </c>
      <c r="F42" s="12">
        <f>'Weekly Plan'!I18</f>
        <v>51</v>
      </c>
    </row>
    <row r="43" spans="1:12" ht="21.95" customHeight="1">
      <c r="A43" s="3">
        <f>'Weekly Plan'!A19</f>
        <v>14</v>
      </c>
      <c r="B43" s="3" t="str">
        <f>'Weekly Plan'!D19</f>
        <v>Integration and optimisation</v>
      </c>
      <c r="C43" s="3">
        <f>'Weekly Plan'!F19</f>
        <v>12</v>
      </c>
      <c r="D43" s="3">
        <f>'Weekly Plan'!G19</f>
        <v>0</v>
      </c>
      <c r="E43" s="9">
        <f>'Weekly Plan'!H19</f>
        <v>0</v>
      </c>
      <c r="F43" s="12">
        <f>'Weekly Plan'!I19</f>
        <v>52</v>
      </c>
      <c r="H43" s="65" t="str">
        <f>"CAPACITY CHECK"&amp;CHAR(10)&amp;"Full scope is "&amp;TEXT(SUM('Task Tracker'!$L$6:$L$212),"0")&amp;" estimated hours ("&amp;TEXT(SUM('Task Tracker'!$L$6:$L$212)/16,"0.0")&amp;" per week). At 20 hours per week, reduce scope or extend the schedule."</f>
        <v>CAPACITY CHECK
Full scope is 739 estimated hours (46.2 per week). At 20 hours per week, reduce scope or extend the schedule.</v>
      </c>
      <c r="I43" s="66"/>
      <c r="J43" s="66"/>
      <c r="K43" s="66"/>
      <c r="L43" s="67"/>
    </row>
    <row r="44" spans="1:12" ht="21.95" customHeight="1">
      <c r="A44" s="3">
        <f>'Weekly Plan'!A20</f>
        <v>15</v>
      </c>
      <c r="B44" s="3" t="str">
        <f>'Weekly Plan'!D20</f>
        <v>Security and release testing</v>
      </c>
      <c r="C44" s="3">
        <f>'Weekly Plan'!F20</f>
        <v>14</v>
      </c>
      <c r="D44" s="3">
        <f>'Weekly Plan'!G20</f>
        <v>0</v>
      </c>
      <c r="E44" s="9">
        <f>'Weekly Plan'!H20</f>
        <v>0</v>
      </c>
      <c r="F44" s="12">
        <f>'Weekly Plan'!I20</f>
        <v>61</v>
      </c>
      <c r="H44" s="68"/>
      <c r="I44" s="69"/>
      <c r="J44" s="69"/>
      <c r="K44" s="69"/>
      <c r="L44" s="70"/>
    </row>
    <row r="45" spans="1:12" ht="21.95" customHeight="1">
      <c r="A45" s="4">
        <f>'Weekly Plan'!A21</f>
        <v>16</v>
      </c>
      <c r="B45" s="4" t="str">
        <f>'Weekly Plan'!D21</f>
        <v>Deployment and portfolio packaging</v>
      </c>
      <c r="C45" s="4">
        <f>'Weekly Plan'!F21</f>
        <v>14</v>
      </c>
      <c r="D45" s="4">
        <f>'Weekly Plan'!G21</f>
        <v>0</v>
      </c>
      <c r="E45" s="10">
        <f>'Weekly Plan'!H21</f>
        <v>0</v>
      </c>
      <c r="F45" s="13">
        <f>'Weekly Plan'!I21</f>
        <v>53</v>
      </c>
      <c r="H45" s="71"/>
      <c r="I45" s="72"/>
      <c r="J45" s="72"/>
      <c r="K45" s="72"/>
      <c r="L45" s="73"/>
    </row>
    <row r="46" spans="1:12" ht="21.95" customHeight="1"/>
    <row r="47" spans="1:12" ht="21.95" customHeight="1"/>
    <row r="48" spans="1:12" ht="21.95" customHeight="1"/>
    <row r="49" ht="21.95" customHeight="1"/>
    <row r="50" ht="21.95" customHeight="1"/>
  </sheetData>
  <mergeCells count="14">
    <mergeCell ref="H37:L37"/>
    <mergeCell ref="H38:L41"/>
    <mergeCell ref="H43:L45"/>
    <mergeCell ref="A9:F9"/>
    <mergeCell ref="G9:L9"/>
    <mergeCell ref="A27:L27"/>
    <mergeCell ref="H29:L29"/>
    <mergeCell ref="H30:L35"/>
    <mergeCell ref="A1:L2"/>
    <mergeCell ref="A3:L3"/>
    <mergeCell ref="A5:C7"/>
    <mergeCell ref="D5:F7"/>
    <mergeCell ref="G5:I7"/>
    <mergeCell ref="J5:L7"/>
  </mergeCells>
  <conditionalFormatting sqref="D11:D18">
    <cfRule type="dataBar" priority="1">
      <dataBar>
        <cfvo type="min"/>
        <cfvo type="max"/>
        <color rgb="FFB3202E"/>
      </dataBar>
    </cfRule>
    <cfRule type="dataBar" priority="3">
      <dataBar>
        <cfvo type="min"/>
        <cfvo type="max"/>
        <color rgb="FFB3202E"/>
      </dataBar>
      <extLst>
        <ext xmlns:x14="http://schemas.microsoft.com/office/spreadsheetml/2009/9/main" uri="{B025F937-C7B1-47D3-B67F-A62EFF666E3E}">
          <x14:id>{E5D2A047-4238-8741-E2B3-85669B88D1C8}</x14:id>
        </ext>
      </extLst>
    </cfRule>
  </conditionalFormatting>
  <conditionalFormatting sqref="E30:E45">
    <cfRule type="dataBar" priority="2">
      <dataBar>
        <cfvo type="min"/>
        <cfvo type="max"/>
        <color rgb="FF287A57"/>
      </dataBar>
    </cfRule>
    <cfRule type="dataBar" priority="4">
      <dataBar>
        <cfvo type="min"/>
        <cfvo type="max"/>
        <color rgb="FF287A57"/>
      </dataBar>
      <extLst>
        <ext xmlns:x14="http://schemas.microsoft.com/office/spreadsheetml/2009/9/main" uri="{B025F937-C7B1-47D3-B67F-A62EFF666E3E}">
          <x14:id>{169BE573-5479-287D-BE93-74B15E11EBFA}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5D2A047-4238-8741-E2B3-85669B88D1C8}">
            <x14:dataBar>
              <x14:cfvo type="min"/>
              <x14:cfvo type="max"/>
              <x14:negativeFillColor auto="1"/>
              <x14:axisColor auto="1"/>
            </x14:dataBar>
          </x14:cfRule>
          <xm:sqref>D11:D18</xm:sqref>
        </x14:conditionalFormatting>
        <x14:conditionalFormatting xmlns:xm="http://schemas.microsoft.com/office/excel/2006/main">
          <x14:cfRule type="dataBar" id="{169BE573-5479-287D-BE93-74B15E11EBFA}">
            <x14:dataBar>
              <x14:cfvo type="min"/>
              <x14:cfvo type="max"/>
              <x14:negativeFillColor auto="1"/>
              <x14:axisColor auto="1"/>
            </x14:dataBar>
          </x14:cfRule>
          <xm:sqref>E30:E45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12"/>
  <sheetViews>
    <sheetView showGridLines="0" tabSelected="1" topLeftCell="A3" workbookViewId="0">
      <selection activeCell="M8" sqref="M8"/>
    </sheetView>
  </sheetViews>
  <sheetFormatPr defaultRowHeight="14.25"/>
  <cols>
    <col min="1" max="1" width="12" customWidth="1"/>
    <col min="2" max="2" width="22" customWidth="1"/>
    <col min="3" max="3" width="7" customWidth="1"/>
    <col min="4" max="4" width="18" customWidth="1"/>
    <col min="5" max="5" width="39" customWidth="1"/>
    <col min="6" max="6" width="48" customWidth="1"/>
    <col min="7" max="8" width="13" customWidth="1"/>
    <col min="9" max="9" width="11" customWidth="1"/>
    <col min="10" max="10" width="17" customWidth="1"/>
    <col min="11" max="11" width="12" customWidth="1"/>
    <col min="12" max="12" width="11" customWidth="1"/>
    <col min="13" max="13" width="12" customWidth="1"/>
    <col min="14" max="14" width="13" customWidth="1"/>
    <col min="15" max="15" width="12" customWidth="1"/>
    <col min="16" max="16" width="14" customWidth="1"/>
    <col min="17" max="17" width="13" customWidth="1"/>
    <col min="18" max="18" width="24" customWidth="1"/>
    <col min="19" max="19" width="32" customWidth="1"/>
  </cols>
  <sheetData>
    <row r="1" spans="1:19" ht="27" customHeight="1">
      <c r="A1" s="33" t="s">
        <v>19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</row>
    <row r="2" spans="1:19" ht="27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</row>
    <row r="3" spans="1:19" ht="33.950000000000003" customHeight="1">
      <c r="A3" s="34" t="s">
        <v>20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</row>
    <row r="5" spans="1:19" ht="30" customHeight="1">
      <c r="A5" s="1" t="s">
        <v>21</v>
      </c>
      <c r="B5" s="1" t="s">
        <v>4</v>
      </c>
      <c r="C5" s="1" t="s">
        <v>11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8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34</v>
      </c>
      <c r="R5" s="1" t="s">
        <v>35</v>
      </c>
      <c r="S5" s="1" t="s">
        <v>36</v>
      </c>
    </row>
    <row r="6" spans="1:19" ht="27" customHeight="1">
      <c r="A6" s="2" t="s">
        <v>37</v>
      </c>
      <c r="B6" s="2" t="s">
        <v>38</v>
      </c>
      <c r="C6" s="2">
        <v>1</v>
      </c>
      <c r="D6" s="2" t="s">
        <v>39</v>
      </c>
      <c r="E6" s="2" t="s">
        <v>40</v>
      </c>
      <c r="F6" s="2" t="s">
        <v>41</v>
      </c>
      <c r="G6" s="5">
        <v>46252</v>
      </c>
      <c r="H6" s="5">
        <v>46257</v>
      </c>
      <c r="I6" s="2" t="s">
        <v>42</v>
      </c>
      <c r="J6" s="2" t="s">
        <v>6</v>
      </c>
      <c r="K6" s="8">
        <v>1</v>
      </c>
      <c r="L6" s="11">
        <v>1</v>
      </c>
      <c r="M6" s="11">
        <v>1</v>
      </c>
      <c r="N6" s="2"/>
      <c r="O6" s="2" t="s">
        <v>44</v>
      </c>
      <c r="P6" s="14" t="str">
        <f t="shared" ref="P6:P69" ca="1" si="0">IF(OR(J6="Complete",J6="Deferred"),"",H6-TODAY())</f>
        <v/>
      </c>
      <c r="Q6" s="2" t="str">
        <f t="shared" ref="Q6:Q69" ca="1" si="1">IF(J6="Complete","Complete",IF(J6="Deferred","Deferred",IF(J6="Blocked","Blocked",IF(H6&lt;TODAY(),"Overdue",IF(H6-TODAY()&lt;=3,"Due Soon","On Track")))))</f>
        <v>Complete</v>
      </c>
      <c r="R6" s="2"/>
      <c r="S6" s="2"/>
    </row>
    <row r="7" spans="1:19" ht="27" customHeight="1">
      <c r="A7" s="3" t="s">
        <v>45</v>
      </c>
      <c r="B7" s="3" t="s">
        <v>38</v>
      </c>
      <c r="C7" s="3">
        <v>1</v>
      </c>
      <c r="D7" s="3" t="s">
        <v>46</v>
      </c>
      <c r="E7" s="3" t="s">
        <v>47</v>
      </c>
      <c r="F7" s="3" t="s">
        <v>48</v>
      </c>
      <c r="G7" s="6">
        <v>46252</v>
      </c>
      <c r="H7" s="6">
        <v>46257</v>
      </c>
      <c r="I7" s="3" t="s">
        <v>49</v>
      </c>
      <c r="J7" s="3" t="s">
        <v>6</v>
      </c>
      <c r="K7" s="9">
        <v>1</v>
      </c>
      <c r="L7" s="12">
        <v>1.5</v>
      </c>
      <c r="M7" s="12">
        <v>1</v>
      </c>
      <c r="N7" s="3" t="s">
        <v>37</v>
      </c>
      <c r="O7" s="3" t="s">
        <v>44</v>
      </c>
      <c r="P7" s="15" t="str">
        <f t="shared" ca="1" si="0"/>
        <v/>
      </c>
      <c r="Q7" s="3" t="str">
        <f t="shared" ca="1" si="1"/>
        <v>Complete</v>
      </c>
      <c r="R7" s="3"/>
      <c r="S7" s="3"/>
    </row>
    <row r="8" spans="1:19" ht="27" customHeight="1">
      <c r="A8" s="3" t="s">
        <v>50</v>
      </c>
      <c r="B8" s="3" t="s">
        <v>38</v>
      </c>
      <c r="C8" s="3">
        <v>1</v>
      </c>
      <c r="D8" s="3" t="s">
        <v>51</v>
      </c>
      <c r="E8" s="3" t="s">
        <v>52</v>
      </c>
      <c r="F8" s="3" t="s">
        <v>53</v>
      </c>
      <c r="G8" s="6">
        <v>46252</v>
      </c>
      <c r="H8" s="6">
        <v>46257</v>
      </c>
      <c r="I8" s="3" t="s">
        <v>42</v>
      </c>
      <c r="J8" s="3" t="s">
        <v>43</v>
      </c>
      <c r="K8" s="9">
        <v>0</v>
      </c>
      <c r="L8" s="12">
        <v>2</v>
      </c>
      <c r="M8" s="12">
        <v>0</v>
      </c>
      <c r="N8" s="3"/>
      <c r="O8" s="3" t="s">
        <v>44</v>
      </c>
      <c r="P8" s="15">
        <f t="shared" ca="1" si="0"/>
        <v>5</v>
      </c>
      <c r="Q8" s="3" t="str">
        <f t="shared" ca="1" si="1"/>
        <v>On Track</v>
      </c>
      <c r="R8" s="3"/>
      <c r="S8" s="3"/>
    </row>
    <row r="9" spans="1:19" ht="27" customHeight="1">
      <c r="A9" s="3" t="s">
        <v>54</v>
      </c>
      <c r="B9" s="3" t="s">
        <v>38</v>
      </c>
      <c r="C9" s="3">
        <v>1</v>
      </c>
      <c r="D9" s="3" t="s">
        <v>51</v>
      </c>
      <c r="E9" s="3" t="s">
        <v>55</v>
      </c>
      <c r="F9" s="3" t="s">
        <v>56</v>
      </c>
      <c r="G9" s="6">
        <v>46252</v>
      </c>
      <c r="H9" s="6">
        <v>46257</v>
      </c>
      <c r="I9" s="3" t="s">
        <v>49</v>
      </c>
      <c r="J9" s="3" t="s">
        <v>43</v>
      </c>
      <c r="K9" s="9">
        <v>0</v>
      </c>
      <c r="L9" s="12">
        <v>1.5</v>
      </c>
      <c r="M9" s="12">
        <v>0</v>
      </c>
      <c r="N9" s="3" t="s">
        <v>50</v>
      </c>
      <c r="O9" s="3" t="s">
        <v>44</v>
      </c>
      <c r="P9" s="15">
        <f t="shared" ca="1" si="0"/>
        <v>5</v>
      </c>
      <c r="Q9" s="3" t="str">
        <f t="shared" ca="1" si="1"/>
        <v>On Track</v>
      </c>
      <c r="R9" s="3"/>
      <c r="S9" s="3"/>
    </row>
    <row r="10" spans="1:19" ht="27" customHeight="1">
      <c r="A10" s="3" t="s">
        <v>57</v>
      </c>
      <c r="B10" s="3" t="s">
        <v>38</v>
      </c>
      <c r="C10" s="3">
        <v>1</v>
      </c>
      <c r="D10" s="3" t="s">
        <v>51</v>
      </c>
      <c r="E10" s="3" t="s">
        <v>58</v>
      </c>
      <c r="F10" s="3" t="s">
        <v>59</v>
      </c>
      <c r="G10" s="6">
        <v>46252</v>
      </c>
      <c r="H10" s="6">
        <v>46257</v>
      </c>
      <c r="I10" s="3" t="s">
        <v>42</v>
      </c>
      <c r="J10" s="3" t="s">
        <v>43</v>
      </c>
      <c r="K10" s="9">
        <v>0</v>
      </c>
      <c r="L10" s="12">
        <v>2</v>
      </c>
      <c r="M10" s="12">
        <v>0</v>
      </c>
      <c r="N10" s="3" t="s">
        <v>50</v>
      </c>
      <c r="O10" s="3" t="s">
        <v>44</v>
      </c>
      <c r="P10" s="15">
        <f t="shared" ca="1" si="0"/>
        <v>5</v>
      </c>
      <c r="Q10" s="3" t="str">
        <f t="shared" ca="1" si="1"/>
        <v>On Track</v>
      </c>
      <c r="R10" s="3"/>
      <c r="S10" s="3"/>
    </row>
    <row r="11" spans="1:19" ht="27" customHeight="1">
      <c r="A11" s="3" t="s">
        <v>60</v>
      </c>
      <c r="B11" s="3" t="s">
        <v>38</v>
      </c>
      <c r="C11" s="3">
        <v>1</v>
      </c>
      <c r="D11" s="3" t="s">
        <v>51</v>
      </c>
      <c r="E11" s="3" t="s">
        <v>61</v>
      </c>
      <c r="F11" s="3" t="s">
        <v>62</v>
      </c>
      <c r="G11" s="6">
        <v>46252</v>
      </c>
      <c r="H11" s="6">
        <v>46257</v>
      </c>
      <c r="I11" s="3" t="s">
        <v>42</v>
      </c>
      <c r="J11" s="3" t="s">
        <v>43</v>
      </c>
      <c r="K11" s="9">
        <v>0</v>
      </c>
      <c r="L11" s="12">
        <v>1</v>
      </c>
      <c r="M11" s="12">
        <v>0</v>
      </c>
      <c r="N11" s="3" t="s">
        <v>57</v>
      </c>
      <c r="O11" s="3" t="s">
        <v>44</v>
      </c>
      <c r="P11" s="15">
        <f t="shared" ca="1" si="0"/>
        <v>5</v>
      </c>
      <c r="Q11" s="3" t="str">
        <f t="shared" ca="1" si="1"/>
        <v>On Track</v>
      </c>
      <c r="R11" s="3"/>
      <c r="S11" s="3"/>
    </row>
    <row r="12" spans="1:19" ht="27" customHeight="1">
      <c r="A12" s="3" t="s">
        <v>63</v>
      </c>
      <c r="B12" s="3" t="s">
        <v>38</v>
      </c>
      <c r="C12" s="3">
        <v>1</v>
      </c>
      <c r="D12" s="3" t="s">
        <v>46</v>
      </c>
      <c r="E12" s="3" t="s">
        <v>64</v>
      </c>
      <c r="F12" s="3" t="s">
        <v>65</v>
      </c>
      <c r="G12" s="6">
        <v>46252</v>
      </c>
      <c r="H12" s="6">
        <v>46257</v>
      </c>
      <c r="I12" s="3" t="s">
        <v>49</v>
      </c>
      <c r="J12" s="3" t="s">
        <v>43</v>
      </c>
      <c r="K12" s="9">
        <v>0</v>
      </c>
      <c r="L12" s="12">
        <v>1.5</v>
      </c>
      <c r="M12" s="12">
        <v>0</v>
      </c>
      <c r="N12" s="3"/>
      <c r="O12" s="3" t="s">
        <v>44</v>
      </c>
      <c r="P12" s="15">
        <f t="shared" ca="1" si="0"/>
        <v>5</v>
      </c>
      <c r="Q12" s="3" t="str">
        <f t="shared" ca="1" si="1"/>
        <v>On Track</v>
      </c>
      <c r="R12" s="3"/>
      <c r="S12" s="3"/>
    </row>
    <row r="13" spans="1:19" ht="27" customHeight="1">
      <c r="A13" s="3" t="s">
        <v>66</v>
      </c>
      <c r="B13" s="3" t="s">
        <v>38</v>
      </c>
      <c r="C13" s="3">
        <v>1</v>
      </c>
      <c r="D13" s="3" t="s">
        <v>39</v>
      </c>
      <c r="E13" s="3" t="s">
        <v>67</v>
      </c>
      <c r="F13" s="3" t="s">
        <v>68</v>
      </c>
      <c r="G13" s="6">
        <v>46252</v>
      </c>
      <c r="H13" s="6">
        <v>46257</v>
      </c>
      <c r="I13" s="3" t="s">
        <v>49</v>
      </c>
      <c r="J13" s="3" t="s">
        <v>43</v>
      </c>
      <c r="K13" s="9">
        <v>0</v>
      </c>
      <c r="L13" s="12">
        <v>1.5</v>
      </c>
      <c r="M13" s="12">
        <v>0</v>
      </c>
      <c r="N13" s="3" t="s">
        <v>57</v>
      </c>
      <c r="O13" s="3" t="s">
        <v>44</v>
      </c>
      <c r="P13" s="15">
        <f t="shared" ca="1" si="0"/>
        <v>5</v>
      </c>
      <c r="Q13" s="3" t="str">
        <f t="shared" ca="1" si="1"/>
        <v>On Track</v>
      </c>
      <c r="R13" s="3"/>
      <c r="S13" s="3"/>
    </row>
    <row r="14" spans="1:19" ht="27" customHeight="1">
      <c r="A14" s="3" t="s">
        <v>69</v>
      </c>
      <c r="B14" s="3" t="s">
        <v>38</v>
      </c>
      <c r="C14" s="3">
        <v>1</v>
      </c>
      <c r="D14" s="3" t="s">
        <v>70</v>
      </c>
      <c r="E14" s="3" t="s">
        <v>71</v>
      </c>
      <c r="F14" s="3" t="s">
        <v>72</v>
      </c>
      <c r="G14" s="6">
        <v>46252</v>
      </c>
      <c r="H14" s="6">
        <v>46257</v>
      </c>
      <c r="I14" s="3" t="s">
        <v>42</v>
      </c>
      <c r="J14" s="3" t="s">
        <v>43</v>
      </c>
      <c r="K14" s="9">
        <v>0</v>
      </c>
      <c r="L14" s="12">
        <v>2</v>
      </c>
      <c r="M14" s="12">
        <v>0</v>
      </c>
      <c r="N14" s="3"/>
      <c r="O14" s="3" t="s">
        <v>44</v>
      </c>
      <c r="P14" s="15">
        <f t="shared" ca="1" si="0"/>
        <v>5</v>
      </c>
      <c r="Q14" s="3" t="str">
        <f t="shared" ca="1" si="1"/>
        <v>On Track</v>
      </c>
      <c r="R14" s="3"/>
      <c r="S14" s="3"/>
    </row>
    <row r="15" spans="1:19" ht="27" customHeight="1">
      <c r="A15" s="3" t="s">
        <v>73</v>
      </c>
      <c r="B15" s="3" t="s">
        <v>38</v>
      </c>
      <c r="C15" s="3">
        <v>1</v>
      </c>
      <c r="D15" s="3" t="s">
        <v>70</v>
      </c>
      <c r="E15" s="3" t="s">
        <v>74</v>
      </c>
      <c r="F15" s="3" t="s">
        <v>75</v>
      </c>
      <c r="G15" s="6">
        <v>46252</v>
      </c>
      <c r="H15" s="6">
        <v>46257</v>
      </c>
      <c r="I15" s="3" t="s">
        <v>42</v>
      </c>
      <c r="J15" s="3" t="s">
        <v>43</v>
      </c>
      <c r="K15" s="9">
        <v>0</v>
      </c>
      <c r="L15" s="12">
        <v>4</v>
      </c>
      <c r="M15" s="12">
        <v>0</v>
      </c>
      <c r="N15" s="3" t="s">
        <v>69</v>
      </c>
      <c r="O15" s="3" t="s">
        <v>44</v>
      </c>
      <c r="P15" s="15">
        <f t="shared" ca="1" si="0"/>
        <v>5</v>
      </c>
      <c r="Q15" s="3" t="str">
        <f t="shared" ca="1" si="1"/>
        <v>On Track</v>
      </c>
      <c r="R15" s="3"/>
      <c r="S15" s="3"/>
    </row>
    <row r="16" spans="1:19" ht="27" customHeight="1">
      <c r="A16" s="3" t="s">
        <v>76</v>
      </c>
      <c r="B16" s="3" t="s">
        <v>38</v>
      </c>
      <c r="C16" s="3">
        <v>1</v>
      </c>
      <c r="D16" s="3" t="s">
        <v>70</v>
      </c>
      <c r="E16" s="3" t="s">
        <v>77</v>
      </c>
      <c r="F16" s="3" t="s">
        <v>78</v>
      </c>
      <c r="G16" s="6">
        <v>46252</v>
      </c>
      <c r="H16" s="6">
        <v>46257</v>
      </c>
      <c r="I16" s="3" t="s">
        <v>49</v>
      </c>
      <c r="J16" s="3" t="s">
        <v>43</v>
      </c>
      <c r="K16" s="9">
        <v>0</v>
      </c>
      <c r="L16" s="12">
        <v>3</v>
      </c>
      <c r="M16" s="12">
        <v>0</v>
      </c>
      <c r="N16" s="3"/>
      <c r="O16" s="3" t="s">
        <v>44</v>
      </c>
      <c r="P16" s="15">
        <f t="shared" ca="1" si="0"/>
        <v>5</v>
      </c>
      <c r="Q16" s="3" t="str">
        <f t="shared" ca="1" si="1"/>
        <v>On Track</v>
      </c>
      <c r="R16" s="3"/>
      <c r="S16" s="3"/>
    </row>
    <row r="17" spans="1:19" ht="27" customHeight="1">
      <c r="A17" s="3" t="s">
        <v>79</v>
      </c>
      <c r="B17" s="3" t="s">
        <v>38</v>
      </c>
      <c r="C17" s="3">
        <v>1</v>
      </c>
      <c r="D17" s="3" t="s">
        <v>70</v>
      </c>
      <c r="E17" s="3" t="s">
        <v>80</v>
      </c>
      <c r="F17" s="3" t="s">
        <v>81</v>
      </c>
      <c r="G17" s="6">
        <v>46252</v>
      </c>
      <c r="H17" s="6">
        <v>46257</v>
      </c>
      <c r="I17" s="3" t="s">
        <v>82</v>
      </c>
      <c r="J17" s="3" t="s">
        <v>43</v>
      </c>
      <c r="K17" s="9">
        <v>0</v>
      </c>
      <c r="L17" s="12">
        <v>1.5</v>
      </c>
      <c r="M17" s="12">
        <v>0</v>
      </c>
      <c r="N17" s="3"/>
      <c r="O17" s="3" t="s">
        <v>44</v>
      </c>
      <c r="P17" s="15">
        <f t="shared" ca="1" si="0"/>
        <v>5</v>
      </c>
      <c r="Q17" s="3" t="str">
        <f t="shared" ca="1" si="1"/>
        <v>On Track</v>
      </c>
      <c r="R17" s="3"/>
      <c r="S17" s="3"/>
    </row>
    <row r="18" spans="1:19" ht="27" customHeight="1">
      <c r="A18" s="3" t="s">
        <v>83</v>
      </c>
      <c r="B18" s="3" t="s">
        <v>38</v>
      </c>
      <c r="C18" s="3">
        <v>1</v>
      </c>
      <c r="D18" s="3" t="s">
        <v>70</v>
      </c>
      <c r="E18" s="3" t="s">
        <v>84</v>
      </c>
      <c r="F18" s="3" t="s">
        <v>85</v>
      </c>
      <c r="G18" s="6">
        <v>46252</v>
      </c>
      <c r="H18" s="6">
        <v>46257</v>
      </c>
      <c r="I18" s="3" t="s">
        <v>42</v>
      </c>
      <c r="J18" s="3" t="s">
        <v>43</v>
      </c>
      <c r="K18" s="9">
        <v>0</v>
      </c>
      <c r="L18" s="12">
        <v>3</v>
      </c>
      <c r="M18" s="12">
        <v>0</v>
      </c>
      <c r="N18" s="3"/>
      <c r="O18" s="3" t="s">
        <v>44</v>
      </c>
      <c r="P18" s="15">
        <f t="shared" ca="1" si="0"/>
        <v>5</v>
      </c>
      <c r="Q18" s="3" t="str">
        <f t="shared" ca="1" si="1"/>
        <v>On Track</v>
      </c>
      <c r="R18" s="3"/>
      <c r="S18" s="3"/>
    </row>
    <row r="19" spans="1:19" ht="27" customHeight="1">
      <c r="A19" s="3" t="s">
        <v>86</v>
      </c>
      <c r="B19" s="3" t="s">
        <v>38</v>
      </c>
      <c r="C19" s="3">
        <v>1</v>
      </c>
      <c r="D19" s="3" t="s">
        <v>87</v>
      </c>
      <c r="E19" s="3" t="s">
        <v>88</v>
      </c>
      <c r="F19" s="3" t="s">
        <v>89</v>
      </c>
      <c r="G19" s="6">
        <v>46252</v>
      </c>
      <c r="H19" s="6">
        <v>46257</v>
      </c>
      <c r="I19" s="3" t="s">
        <v>42</v>
      </c>
      <c r="J19" s="3" t="s">
        <v>43</v>
      </c>
      <c r="K19" s="9">
        <v>0</v>
      </c>
      <c r="L19" s="12">
        <v>2</v>
      </c>
      <c r="M19" s="12">
        <v>0</v>
      </c>
      <c r="N19" s="3" t="s">
        <v>83</v>
      </c>
      <c r="O19" s="3" t="s">
        <v>44</v>
      </c>
      <c r="P19" s="15">
        <f t="shared" ca="1" si="0"/>
        <v>5</v>
      </c>
      <c r="Q19" s="3" t="str">
        <f t="shared" ca="1" si="1"/>
        <v>On Track</v>
      </c>
      <c r="R19" s="3"/>
      <c r="S19" s="3"/>
    </row>
    <row r="20" spans="1:19" ht="27" customHeight="1">
      <c r="A20" s="3" t="s">
        <v>90</v>
      </c>
      <c r="B20" s="3" t="s">
        <v>38</v>
      </c>
      <c r="C20" s="3">
        <v>1</v>
      </c>
      <c r="D20" s="3" t="s">
        <v>46</v>
      </c>
      <c r="E20" s="3" t="s">
        <v>91</v>
      </c>
      <c r="F20" s="3" t="s">
        <v>92</v>
      </c>
      <c r="G20" s="6">
        <v>46252</v>
      </c>
      <c r="H20" s="6">
        <v>46257</v>
      </c>
      <c r="I20" s="3" t="s">
        <v>42</v>
      </c>
      <c r="J20" s="3" t="s">
        <v>43</v>
      </c>
      <c r="K20" s="9">
        <v>0</v>
      </c>
      <c r="L20" s="12">
        <v>4</v>
      </c>
      <c r="M20" s="12">
        <v>0</v>
      </c>
      <c r="N20" s="3" t="s">
        <v>57</v>
      </c>
      <c r="O20" s="3" t="s">
        <v>44</v>
      </c>
      <c r="P20" s="15">
        <f t="shared" ca="1" si="0"/>
        <v>5</v>
      </c>
      <c r="Q20" s="3" t="str">
        <f t="shared" ca="1" si="1"/>
        <v>On Track</v>
      </c>
      <c r="R20" s="3"/>
      <c r="S20" s="3"/>
    </row>
    <row r="21" spans="1:19" ht="27" customHeight="1">
      <c r="A21" s="3" t="s">
        <v>93</v>
      </c>
      <c r="B21" s="3" t="s">
        <v>38</v>
      </c>
      <c r="C21" s="3">
        <v>1</v>
      </c>
      <c r="D21" s="3" t="s">
        <v>51</v>
      </c>
      <c r="E21" s="3" t="s">
        <v>94</v>
      </c>
      <c r="F21" s="3" t="s">
        <v>95</v>
      </c>
      <c r="G21" s="6">
        <v>46252</v>
      </c>
      <c r="H21" s="6">
        <v>46257</v>
      </c>
      <c r="I21" s="3" t="s">
        <v>42</v>
      </c>
      <c r="J21" s="3" t="s">
        <v>43</v>
      </c>
      <c r="K21" s="9">
        <v>0</v>
      </c>
      <c r="L21" s="12">
        <v>3</v>
      </c>
      <c r="M21" s="12">
        <v>0</v>
      </c>
      <c r="N21" s="3" t="s">
        <v>90</v>
      </c>
      <c r="O21" s="3" t="s">
        <v>44</v>
      </c>
      <c r="P21" s="15">
        <f t="shared" ca="1" si="0"/>
        <v>5</v>
      </c>
      <c r="Q21" s="3" t="str">
        <f t="shared" ca="1" si="1"/>
        <v>On Track</v>
      </c>
      <c r="R21" s="3"/>
      <c r="S21" s="3"/>
    </row>
    <row r="22" spans="1:19" ht="27" customHeight="1">
      <c r="A22" s="3" t="s">
        <v>96</v>
      </c>
      <c r="B22" s="3" t="s">
        <v>38</v>
      </c>
      <c r="C22" s="3">
        <v>1</v>
      </c>
      <c r="D22" s="3" t="s">
        <v>39</v>
      </c>
      <c r="E22" s="3" t="s">
        <v>97</v>
      </c>
      <c r="F22" s="3" t="s">
        <v>98</v>
      </c>
      <c r="G22" s="6">
        <v>46252</v>
      </c>
      <c r="H22" s="6">
        <v>46257</v>
      </c>
      <c r="I22" s="3" t="s">
        <v>49</v>
      </c>
      <c r="J22" s="3" t="s">
        <v>43</v>
      </c>
      <c r="K22" s="9">
        <v>0</v>
      </c>
      <c r="L22" s="12">
        <v>1.5</v>
      </c>
      <c r="M22" s="12">
        <v>0</v>
      </c>
      <c r="N22" s="3" t="s">
        <v>90</v>
      </c>
      <c r="O22" s="3" t="s">
        <v>44</v>
      </c>
      <c r="P22" s="15">
        <f t="shared" ca="1" si="0"/>
        <v>5</v>
      </c>
      <c r="Q22" s="3" t="str">
        <f t="shared" ca="1" si="1"/>
        <v>On Track</v>
      </c>
      <c r="R22" s="3"/>
      <c r="S22" s="3"/>
    </row>
    <row r="23" spans="1:19" ht="27" customHeight="1">
      <c r="A23" s="3" t="s">
        <v>99</v>
      </c>
      <c r="B23" s="3" t="s">
        <v>100</v>
      </c>
      <c r="C23" s="3">
        <v>2</v>
      </c>
      <c r="D23" s="3" t="s">
        <v>101</v>
      </c>
      <c r="E23" s="3" t="s">
        <v>102</v>
      </c>
      <c r="F23" s="3" t="s">
        <v>103</v>
      </c>
      <c r="G23" s="6">
        <v>46258</v>
      </c>
      <c r="H23" s="6">
        <v>46264</v>
      </c>
      <c r="I23" s="3" t="s">
        <v>42</v>
      </c>
      <c r="J23" s="3" t="s">
        <v>43</v>
      </c>
      <c r="K23" s="9">
        <v>0</v>
      </c>
      <c r="L23" s="12">
        <v>2</v>
      </c>
      <c r="M23" s="12">
        <v>0</v>
      </c>
      <c r="N23" s="3" t="s">
        <v>90</v>
      </c>
      <c r="O23" s="3" t="s">
        <v>44</v>
      </c>
      <c r="P23" s="15">
        <f t="shared" ca="1" si="0"/>
        <v>12</v>
      </c>
      <c r="Q23" s="3" t="str">
        <f t="shared" ca="1" si="1"/>
        <v>On Track</v>
      </c>
      <c r="R23" s="3"/>
      <c r="S23" s="3"/>
    </row>
    <row r="24" spans="1:19" ht="27" customHeight="1">
      <c r="A24" s="3" t="s">
        <v>104</v>
      </c>
      <c r="B24" s="3" t="s">
        <v>100</v>
      </c>
      <c r="C24" s="3">
        <v>2</v>
      </c>
      <c r="D24" s="3" t="s">
        <v>101</v>
      </c>
      <c r="E24" s="3" t="s">
        <v>105</v>
      </c>
      <c r="F24" s="3" t="s">
        <v>106</v>
      </c>
      <c r="G24" s="6">
        <v>46258</v>
      </c>
      <c r="H24" s="6">
        <v>46264</v>
      </c>
      <c r="I24" s="3" t="s">
        <v>42</v>
      </c>
      <c r="J24" s="3" t="s">
        <v>43</v>
      </c>
      <c r="K24" s="9">
        <v>0</v>
      </c>
      <c r="L24" s="12">
        <v>2</v>
      </c>
      <c r="M24" s="12">
        <v>0</v>
      </c>
      <c r="N24" s="3" t="s">
        <v>99</v>
      </c>
      <c r="O24" s="3" t="s">
        <v>44</v>
      </c>
      <c r="P24" s="15">
        <f t="shared" ca="1" si="0"/>
        <v>12</v>
      </c>
      <c r="Q24" s="3" t="str">
        <f t="shared" ca="1" si="1"/>
        <v>On Track</v>
      </c>
      <c r="R24" s="3"/>
      <c r="S24" s="3"/>
    </row>
    <row r="25" spans="1:19" ht="27" customHeight="1">
      <c r="A25" s="3" t="s">
        <v>107</v>
      </c>
      <c r="B25" s="3" t="s">
        <v>100</v>
      </c>
      <c r="C25" s="3">
        <v>2</v>
      </c>
      <c r="D25" s="3" t="s">
        <v>101</v>
      </c>
      <c r="E25" s="3" t="s">
        <v>108</v>
      </c>
      <c r="F25" s="3" t="s">
        <v>109</v>
      </c>
      <c r="G25" s="6">
        <v>46258</v>
      </c>
      <c r="H25" s="6">
        <v>46264</v>
      </c>
      <c r="I25" s="3" t="s">
        <v>49</v>
      </c>
      <c r="J25" s="3" t="s">
        <v>43</v>
      </c>
      <c r="K25" s="9">
        <v>0</v>
      </c>
      <c r="L25" s="12">
        <v>2.5</v>
      </c>
      <c r="M25" s="12">
        <v>0</v>
      </c>
      <c r="N25" s="3" t="s">
        <v>99</v>
      </c>
      <c r="O25" s="3" t="s">
        <v>44</v>
      </c>
      <c r="P25" s="15">
        <f t="shared" ca="1" si="0"/>
        <v>12</v>
      </c>
      <c r="Q25" s="3" t="str">
        <f t="shared" ca="1" si="1"/>
        <v>On Track</v>
      </c>
      <c r="R25" s="3"/>
      <c r="S25" s="3"/>
    </row>
    <row r="26" spans="1:19" ht="27" customHeight="1">
      <c r="A26" s="3" t="s">
        <v>110</v>
      </c>
      <c r="B26" s="3" t="s">
        <v>100</v>
      </c>
      <c r="C26" s="3">
        <v>2</v>
      </c>
      <c r="D26" s="3" t="s">
        <v>101</v>
      </c>
      <c r="E26" s="3" t="s">
        <v>111</v>
      </c>
      <c r="F26" s="3" t="s">
        <v>112</v>
      </c>
      <c r="G26" s="6">
        <v>46258</v>
      </c>
      <c r="H26" s="6">
        <v>46264</v>
      </c>
      <c r="I26" s="3" t="s">
        <v>49</v>
      </c>
      <c r="J26" s="3" t="s">
        <v>43</v>
      </c>
      <c r="K26" s="9">
        <v>0</v>
      </c>
      <c r="L26" s="12">
        <v>2</v>
      </c>
      <c r="M26" s="12">
        <v>0</v>
      </c>
      <c r="N26" s="3" t="s">
        <v>99</v>
      </c>
      <c r="O26" s="3" t="s">
        <v>44</v>
      </c>
      <c r="P26" s="15">
        <f t="shared" ca="1" si="0"/>
        <v>12</v>
      </c>
      <c r="Q26" s="3" t="str">
        <f t="shared" ca="1" si="1"/>
        <v>On Track</v>
      </c>
      <c r="R26" s="3"/>
      <c r="S26" s="3"/>
    </row>
    <row r="27" spans="1:19" ht="27" customHeight="1">
      <c r="A27" s="3" t="s">
        <v>113</v>
      </c>
      <c r="B27" s="3" t="s">
        <v>100</v>
      </c>
      <c r="C27" s="3">
        <v>2</v>
      </c>
      <c r="D27" s="3" t="s">
        <v>101</v>
      </c>
      <c r="E27" s="3" t="s">
        <v>114</v>
      </c>
      <c r="F27" s="3" t="s">
        <v>115</v>
      </c>
      <c r="G27" s="6">
        <v>46258</v>
      </c>
      <c r="H27" s="6">
        <v>46264</v>
      </c>
      <c r="I27" s="3" t="s">
        <v>42</v>
      </c>
      <c r="J27" s="3" t="s">
        <v>43</v>
      </c>
      <c r="K27" s="9">
        <v>0</v>
      </c>
      <c r="L27" s="12">
        <v>3</v>
      </c>
      <c r="M27" s="12">
        <v>0</v>
      </c>
      <c r="N27" s="3" t="s">
        <v>99</v>
      </c>
      <c r="O27" s="3" t="s">
        <v>44</v>
      </c>
      <c r="P27" s="15">
        <f t="shared" ca="1" si="0"/>
        <v>12</v>
      </c>
      <c r="Q27" s="3" t="str">
        <f t="shared" ca="1" si="1"/>
        <v>On Track</v>
      </c>
      <c r="R27" s="3"/>
      <c r="S27" s="3"/>
    </row>
    <row r="28" spans="1:19" ht="27" customHeight="1">
      <c r="A28" s="3" t="s">
        <v>116</v>
      </c>
      <c r="B28" s="3" t="s">
        <v>100</v>
      </c>
      <c r="C28" s="3">
        <v>2</v>
      </c>
      <c r="D28" s="3" t="s">
        <v>101</v>
      </c>
      <c r="E28" s="3" t="s">
        <v>117</v>
      </c>
      <c r="F28" s="3" t="s">
        <v>118</v>
      </c>
      <c r="G28" s="6">
        <v>46258</v>
      </c>
      <c r="H28" s="6">
        <v>46264</v>
      </c>
      <c r="I28" s="3" t="s">
        <v>82</v>
      </c>
      <c r="J28" s="3" t="s">
        <v>43</v>
      </c>
      <c r="K28" s="9">
        <v>0</v>
      </c>
      <c r="L28" s="12">
        <v>2</v>
      </c>
      <c r="M28" s="12">
        <v>0</v>
      </c>
      <c r="N28" s="3" t="s">
        <v>99</v>
      </c>
      <c r="O28" s="3" t="s">
        <v>44</v>
      </c>
      <c r="P28" s="15">
        <f t="shared" ca="1" si="0"/>
        <v>12</v>
      </c>
      <c r="Q28" s="3" t="str">
        <f t="shared" ca="1" si="1"/>
        <v>On Track</v>
      </c>
      <c r="R28" s="3"/>
      <c r="S28" s="3"/>
    </row>
    <row r="29" spans="1:19" ht="27" customHeight="1">
      <c r="A29" s="3" t="s">
        <v>119</v>
      </c>
      <c r="B29" s="3" t="s">
        <v>100</v>
      </c>
      <c r="C29" s="3">
        <v>2</v>
      </c>
      <c r="D29" s="3" t="s">
        <v>101</v>
      </c>
      <c r="E29" s="3" t="s">
        <v>120</v>
      </c>
      <c r="F29" s="3" t="s">
        <v>121</v>
      </c>
      <c r="G29" s="6">
        <v>46258</v>
      </c>
      <c r="H29" s="6">
        <v>46264</v>
      </c>
      <c r="I29" s="3" t="s">
        <v>42</v>
      </c>
      <c r="J29" s="3" t="s">
        <v>43</v>
      </c>
      <c r="K29" s="9">
        <v>0</v>
      </c>
      <c r="L29" s="12">
        <v>3</v>
      </c>
      <c r="M29" s="12">
        <v>0</v>
      </c>
      <c r="N29" s="3" t="s">
        <v>104</v>
      </c>
      <c r="O29" s="3" t="s">
        <v>44</v>
      </c>
      <c r="P29" s="15">
        <f t="shared" ca="1" si="0"/>
        <v>12</v>
      </c>
      <c r="Q29" s="3" t="str">
        <f t="shared" ca="1" si="1"/>
        <v>On Track</v>
      </c>
      <c r="R29" s="3"/>
      <c r="S29" s="3"/>
    </row>
    <row r="30" spans="1:19" ht="27" customHeight="1">
      <c r="A30" s="3" t="s">
        <v>122</v>
      </c>
      <c r="B30" s="3" t="s">
        <v>100</v>
      </c>
      <c r="C30" s="3">
        <v>2</v>
      </c>
      <c r="D30" s="3" t="s">
        <v>101</v>
      </c>
      <c r="E30" s="3" t="s">
        <v>123</v>
      </c>
      <c r="F30" s="3" t="s">
        <v>124</v>
      </c>
      <c r="G30" s="6">
        <v>46258</v>
      </c>
      <c r="H30" s="6">
        <v>46264</v>
      </c>
      <c r="I30" s="3" t="s">
        <v>42</v>
      </c>
      <c r="J30" s="3" t="s">
        <v>43</v>
      </c>
      <c r="K30" s="9">
        <v>0</v>
      </c>
      <c r="L30" s="12">
        <v>4</v>
      </c>
      <c r="M30" s="12">
        <v>0</v>
      </c>
      <c r="N30" s="3" t="s">
        <v>104</v>
      </c>
      <c r="O30" s="3" t="s">
        <v>44</v>
      </c>
      <c r="P30" s="15">
        <f t="shared" ca="1" si="0"/>
        <v>12</v>
      </c>
      <c r="Q30" s="3" t="str">
        <f t="shared" ca="1" si="1"/>
        <v>On Track</v>
      </c>
      <c r="R30" s="3"/>
      <c r="S30" s="3"/>
    </row>
    <row r="31" spans="1:19" ht="27" customHeight="1">
      <c r="A31" s="3" t="s">
        <v>125</v>
      </c>
      <c r="B31" s="3" t="s">
        <v>100</v>
      </c>
      <c r="C31" s="3">
        <v>2</v>
      </c>
      <c r="D31" s="3" t="s">
        <v>101</v>
      </c>
      <c r="E31" s="3" t="s">
        <v>126</v>
      </c>
      <c r="F31" s="3" t="s">
        <v>127</v>
      </c>
      <c r="G31" s="6">
        <v>46258</v>
      </c>
      <c r="H31" s="6">
        <v>46264</v>
      </c>
      <c r="I31" s="3" t="s">
        <v>42</v>
      </c>
      <c r="J31" s="3" t="s">
        <v>43</v>
      </c>
      <c r="K31" s="9">
        <v>0</v>
      </c>
      <c r="L31" s="12">
        <v>3</v>
      </c>
      <c r="M31" s="12">
        <v>0</v>
      </c>
      <c r="N31" s="3" t="s">
        <v>104</v>
      </c>
      <c r="O31" s="3" t="s">
        <v>44</v>
      </c>
      <c r="P31" s="15">
        <f t="shared" ca="1" si="0"/>
        <v>12</v>
      </c>
      <c r="Q31" s="3" t="str">
        <f t="shared" ca="1" si="1"/>
        <v>On Track</v>
      </c>
      <c r="R31" s="3"/>
      <c r="S31" s="3"/>
    </row>
    <row r="32" spans="1:19" ht="27" customHeight="1">
      <c r="A32" s="3" t="s">
        <v>128</v>
      </c>
      <c r="B32" s="3" t="s">
        <v>100</v>
      </c>
      <c r="C32" s="3">
        <v>2</v>
      </c>
      <c r="D32" s="3" t="s">
        <v>101</v>
      </c>
      <c r="E32" s="3" t="s">
        <v>129</v>
      </c>
      <c r="F32" s="3" t="s">
        <v>130</v>
      </c>
      <c r="G32" s="6">
        <v>46258</v>
      </c>
      <c r="H32" s="6">
        <v>46264</v>
      </c>
      <c r="I32" s="3" t="s">
        <v>49</v>
      </c>
      <c r="J32" s="3" t="s">
        <v>43</v>
      </c>
      <c r="K32" s="9">
        <v>0</v>
      </c>
      <c r="L32" s="12">
        <v>3</v>
      </c>
      <c r="M32" s="12">
        <v>0</v>
      </c>
      <c r="N32" s="3" t="s">
        <v>104</v>
      </c>
      <c r="O32" s="3" t="s">
        <v>44</v>
      </c>
      <c r="P32" s="15">
        <f t="shared" ca="1" si="0"/>
        <v>12</v>
      </c>
      <c r="Q32" s="3" t="str">
        <f t="shared" ca="1" si="1"/>
        <v>On Track</v>
      </c>
      <c r="R32" s="3"/>
      <c r="S32" s="3"/>
    </row>
    <row r="33" spans="1:19" ht="27" customHeight="1">
      <c r="A33" s="3" t="s">
        <v>131</v>
      </c>
      <c r="B33" s="3" t="s">
        <v>100</v>
      </c>
      <c r="C33" s="3">
        <v>2</v>
      </c>
      <c r="D33" s="3" t="s">
        <v>132</v>
      </c>
      <c r="E33" s="3" t="s">
        <v>133</v>
      </c>
      <c r="F33" s="3" t="s">
        <v>134</v>
      </c>
      <c r="G33" s="6">
        <v>46258</v>
      </c>
      <c r="H33" s="6">
        <v>46264</v>
      </c>
      <c r="I33" s="3" t="s">
        <v>49</v>
      </c>
      <c r="J33" s="3" t="s">
        <v>43</v>
      </c>
      <c r="K33" s="9">
        <v>0</v>
      </c>
      <c r="L33" s="12">
        <v>3</v>
      </c>
      <c r="M33" s="12">
        <v>0</v>
      </c>
      <c r="N33" s="3" t="s">
        <v>119</v>
      </c>
      <c r="O33" s="3" t="s">
        <v>44</v>
      </c>
      <c r="P33" s="15">
        <f t="shared" ca="1" si="0"/>
        <v>12</v>
      </c>
      <c r="Q33" s="3" t="str">
        <f t="shared" ca="1" si="1"/>
        <v>On Track</v>
      </c>
      <c r="R33" s="3"/>
      <c r="S33" s="3"/>
    </row>
    <row r="34" spans="1:19" ht="27" customHeight="1">
      <c r="A34" s="3" t="s">
        <v>135</v>
      </c>
      <c r="B34" s="3" t="s">
        <v>100</v>
      </c>
      <c r="C34" s="3">
        <v>2</v>
      </c>
      <c r="D34" s="3" t="s">
        <v>132</v>
      </c>
      <c r="E34" s="3" t="s">
        <v>136</v>
      </c>
      <c r="F34" s="3" t="s">
        <v>137</v>
      </c>
      <c r="G34" s="6">
        <v>46258</v>
      </c>
      <c r="H34" s="6">
        <v>46264</v>
      </c>
      <c r="I34" s="3" t="s">
        <v>49</v>
      </c>
      <c r="J34" s="3" t="s">
        <v>43</v>
      </c>
      <c r="K34" s="9">
        <v>0</v>
      </c>
      <c r="L34" s="12">
        <v>4</v>
      </c>
      <c r="M34" s="12">
        <v>0</v>
      </c>
      <c r="N34" s="3" t="s">
        <v>131</v>
      </c>
      <c r="O34" s="3" t="s">
        <v>44</v>
      </c>
      <c r="P34" s="15">
        <f t="shared" ca="1" si="0"/>
        <v>12</v>
      </c>
      <c r="Q34" s="3" t="str">
        <f t="shared" ca="1" si="1"/>
        <v>On Track</v>
      </c>
      <c r="R34" s="3"/>
      <c r="S34" s="3"/>
    </row>
    <row r="35" spans="1:19" ht="27" customHeight="1">
      <c r="A35" s="3" t="s">
        <v>138</v>
      </c>
      <c r="B35" s="3" t="s">
        <v>100</v>
      </c>
      <c r="C35" s="3">
        <v>2</v>
      </c>
      <c r="D35" s="3" t="s">
        <v>132</v>
      </c>
      <c r="E35" s="3" t="s">
        <v>139</v>
      </c>
      <c r="F35" s="3" t="s">
        <v>140</v>
      </c>
      <c r="G35" s="6">
        <v>46258</v>
      </c>
      <c r="H35" s="6">
        <v>46264</v>
      </c>
      <c r="I35" s="3" t="s">
        <v>42</v>
      </c>
      <c r="J35" s="3" t="s">
        <v>43</v>
      </c>
      <c r="K35" s="9">
        <v>0</v>
      </c>
      <c r="L35" s="12">
        <v>6</v>
      </c>
      <c r="M35" s="12">
        <v>0</v>
      </c>
      <c r="N35" s="3" t="s">
        <v>122</v>
      </c>
      <c r="O35" s="3" t="s">
        <v>44</v>
      </c>
      <c r="P35" s="15">
        <f t="shared" ca="1" si="0"/>
        <v>12</v>
      </c>
      <c r="Q35" s="3" t="str">
        <f t="shared" ca="1" si="1"/>
        <v>On Track</v>
      </c>
      <c r="R35" s="3"/>
      <c r="S35" s="3"/>
    </row>
    <row r="36" spans="1:19" ht="27" customHeight="1">
      <c r="A36" s="3" t="s">
        <v>141</v>
      </c>
      <c r="B36" s="3" t="s">
        <v>100</v>
      </c>
      <c r="C36" s="3">
        <v>2</v>
      </c>
      <c r="D36" s="3" t="s">
        <v>142</v>
      </c>
      <c r="E36" s="3" t="s">
        <v>143</v>
      </c>
      <c r="F36" s="3" t="s">
        <v>144</v>
      </c>
      <c r="G36" s="6">
        <v>46258</v>
      </c>
      <c r="H36" s="6">
        <v>46264</v>
      </c>
      <c r="I36" s="3" t="s">
        <v>42</v>
      </c>
      <c r="J36" s="3" t="s">
        <v>43</v>
      </c>
      <c r="K36" s="9">
        <v>0</v>
      </c>
      <c r="L36" s="12">
        <v>2</v>
      </c>
      <c r="M36" s="12">
        <v>0</v>
      </c>
      <c r="N36" s="3" t="s">
        <v>138</v>
      </c>
      <c r="O36" s="3" t="s">
        <v>44</v>
      </c>
      <c r="P36" s="15">
        <f t="shared" ca="1" si="0"/>
        <v>12</v>
      </c>
      <c r="Q36" s="3" t="str">
        <f t="shared" ca="1" si="1"/>
        <v>On Track</v>
      </c>
      <c r="R36" s="3"/>
      <c r="S36" s="3"/>
    </row>
    <row r="37" spans="1:19" ht="27" customHeight="1">
      <c r="A37" s="3" t="s">
        <v>145</v>
      </c>
      <c r="B37" s="3" t="s">
        <v>146</v>
      </c>
      <c r="C37" s="3">
        <v>3</v>
      </c>
      <c r="D37" s="3" t="s">
        <v>147</v>
      </c>
      <c r="E37" s="3" t="s">
        <v>148</v>
      </c>
      <c r="F37" s="3" t="s">
        <v>149</v>
      </c>
      <c r="G37" s="6">
        <v>46265</v>
      </c>
      <c r="H37" s="6">
        <v>46271</v>
      </c>
      <c r="I37" s="3" t="s">
        <v>42</v>
      </c>
      <c r="J37" s="3" t="s">
        <v>43</v>
      </c>
      <c r="K37" s="9">
        <v>0</v>
      </c>
      <c r="L37" s="12">
        <v>5</v>
      </c>
      <c r="M37" s="12">
        <v>0</v>
      </c>
      <c r="N37" s="3" t="s">
        <v>90</v>
      </c>
      <c r="O37" s="3" t="s">
        <v>44</v>
      </c>
      <c r="P37" s="15">
        <f t="shared" ca="1" si="0"/>
        <v>19</v>
      </c>
      <c r="Q37" s="3" t="str">
        <f t="shared" ca="1" si="1"/>
        <v>On Track</v>
      </c>
      <c r="R37" s="3"/>
      <c r="S37" s="3"/>
    </row>
    <row r="38" spans="1:19" ht="27" customHeight="1">
      <c r="A38" s="3" t="s">
        <v>150</v>
      </c>
      <c r="B38" s="3" t="s">
        <v>146</v>
      </c>
      <c r="C38" s="3">
        <v>3</v>
      </c>
      <c r="D38" s="3" t="s">
        <v>147</v>
      </c>
      <c r="E38" s="3" t="s">
        <v>151</v>
      </c>
      <c r="F38" s="3" t="s">
        <v>152</v>
      </c>
      <c r="G38" s="6">
        <v>46265</v>
      </c>
      <c r="H38" s="6">
        <v>46271</v>
      </c>
      <c r="I38" s="3" t="s">
        <v>49</v>
      </c>
      <c r="J38" s="3" t="s">
        <v>43</v>
      </c>
      <c r="K38" s="9">
        <v>0</v>
      </c>
      <c r="L38" s="12">
        <v>4</v>
      </c>
      <c r="M38" s="12">
        <v>0</v>
      </c>
      <c r="N38" s="3" t="s">
        <v>145</v>
      </c>
      <c r="O38" s="3" t="s">
        <v>44</v>
      </c>
      <c r="P38" s="15">
        <f t="shared" ca="1" si="0"/>
        <v>19</v>
      </c>
      <c r="Q38" s="3" t="str">
        <f t="shared" ca="1" si="1"/>
        <v>On Track</v>
      </c>
      <c r="R38" s="3"/>
      <c r="S38" s="3"/>
    </row>
    <row r="39" spans="1:19" ht="27" customHeight="1">
      <c r="A39" s="3" t="s">
        <v>153</v>
      </c>
      <c r="B39" s="3" t="s">
        <v>146</v>
      </c>
      <c r="C39" s="3">
        <v>3</v>
      </c>
      <c r="D39" s="3" t="s">
        <v>147</v>
      </c>
      <c r="E39" s="3" t="s">
        <v>154</v>
      </c>
      <c r="F39" s="3" t="s">
        <v>155</v>
      </c>
      <c r="G39" s="6">
        <v>46265</v>
      </c>
      <c r="H39" s="6">
        <v>46271</v>
      </c>
      <c r="I39" s="3" t="s">
        <v>42</v>
      </c>
      <c r="J39" s="3" t="s">
        <v>43</v>
      </c>
      <c r="K39" s="9">
        <v>0</v>
      </c>
      <c r="L39" s="12">
        <v>2</v>
      </c>
      <c r="M39" s="12">
        <v>0</v>
      </c>
      <c r="N39" s="3" t="s">
        <v>145</v>
      </c>
      <c r="O39" s="3" t="s">
        <v>44</v>
      </c>
      <c r="P39" s="15">
        <f t="shared" ca="1" si="0"/>
        <v>19</v>
      </c>
      <c r="Q39" s="3" t="str">
        <f t="shared" ca="1" si="1"/>
        <v>On Track</v>
      </c>
      <c r="R39" s="3"/>
      <c r="S39" s="3"/>
    </row>
    <row r="40" spans="1:19" ht="27" customHeight="1">
      <c r="A40" s="3" t="s">
        <v>156</v>
      </c>
      <c r="B40" s="3" t="s">
        <v>146</v>
      </c>
      <c r="C40" s="3">
        <v>3</v>
      </c>
      <c r="D40" s="3" t="s">
        <v>157</v>
      </c>
      <c r="E40" s="3" t="s">
        <v>158</v>
      </c>
      <c r="F40" s="3" t="s">
        <v>159</v>
      </c>
      <c r="G40" s="6">
        <v>46265</v>
      </c>
      <c r="H40" s="6">
        <v>46271</v>
      </c>
      <c r="I40" s="3" t="s">
        <v>42</v>
      </c>
      <c r="J40" s="3" t="s">
        <v>43</v>
      </c>
      <c r="K40" s="9">
        <v>0</v>
      </c>
      <c r="L40" s="12">
        <v>3</v>
      </c>
      <c r="M40" s="12">
        <v>0</v>
      </c>
      <c r="N40" s="3" t="s">
        <v>83</v>
      </c>
      <c r="O40" s="3" t="s">
        <v>44</v>
      </c>
      <c r="P40" s="15">
        <f t="shared" ca="1" si="0"/>
        <v>19</v>
      </c>
      <c r="Q40" s="3" t="str">
        <f t="shared" ca="1" si="1"/>
        <v>On Track</v>
      </c>
      <c r="R40" s="3"/>
      <c r="S40" s="3"/>
    </row>
    <row r="41" spans="1:19" ht="27" customHeight="1">
      <c r="A41" s="3" t="s">
        <v>160</v>
      </c>
      <c r="B41" s="3" t="s">
        <v>146</v>
      </c>
      <c r="C41" s="3">
        <v>3</v>
      </c>
      <c r="D41" s="3" t="s">
        <v>161</v>
      </c>
      <c r="E41" s="3" t="s">
        <v>162</v>
      </c>
      <c r="F41" s="3" t="s">
        <v>163</v>
      </c>
      <c r="G41" s="6">
        <v>46265</v>
      </c>
      <c r="H41" s="6">
        <v>46271</v>
      </c>
      <c r="I41" s="3" t="s">
        <v>42</v>
      </c>
      <c r="J41" s="3" t="s">
        <v>43</v>
      </c>
      <c r="K41" s="9">
        <v>0</v>
      </c>
      <c r="L41" s="12">
        <v>3</v>
      </c>
      <c r="M41" s="12">
        <v>0</v>
      </c>
      <c r="N41" s="3" t="s">
        <v>145</v>
      </c>
      <c r="O41" s="3" t="s">
        <v>44</v>
      </c>
      <c r="P41" s="15">
        <f t="shared" ca="1" si="0"/>
        <v>19</v>
      </c>
      <c r="Q41" s="3" t="str">
        <f t="shared" ca="1" si="1"/>
        <v>On Track</v>
      </c>
      <c r="R41" s="3"/>
      <c r="S41" s="3"/>
    </row>
    <row r="42" spans="1:19" ht="27" customHeight="1">
      <c r="A42" s="3" t="s">
        <v>164</v>
      </c>
      <c r="B42" s="3" t="s">
        <v>146</v>
      </c>
      <c r="C42" s="3">
        <v>3</v>
      </c>
      <c r="D42" s="3" t="s">
        <v>161</v>
      </c>
      <c r="E42" s="3" t="s">
        <v>165</v>
      </c>
      <c r="F42" s="3" t="s">
        <v>166</v>
      </c>
      <c r="G42" s="6">
        <v>46265</v>
      </c>
      <c r="H42" s="6">
        <v>46271</v>
      </c>
      <c r="I42" s="3" t="s">
        <v>42</v>
      </c>
      <c r="J42" s="3" t="s">
        <v>43</v>
      </c>
      <c r="K42" s="9">
        <v>0</v>
      </c>
      <c r="L42" s="12">
        <v>3</v>
      </c>
      <c r="M42" s="12">
        <v>0</v>
      </c>
      <c r="N42" s="3" t="s">
        <v>160</v>
      </c>
      <c r="O42" s="3" t="s">
        <v>44</v>
      </c>
      <c r="P42" s="15">
        <f t="shared" ca="1" si="0"/>
        <v>19</v>
      </c>
      <c r="Q42" s="3" t="str">
        <f t="shared" ca="1" si="1"/>
        <v>On Track</v>
      </c>
      <c r="R42" s="3"/>
      <c r="S42" s="3"/>
    </row>
    <row r="43" spans="1:19" ht="27" customHeight="1">
      <c r="A43" s="3" t="s">
        <v>167</v>
      </c>
      <c r="B43" s="3" t="s">
        <v>146</v>
      </c>
      <c r="C43" s="3">
        <v>3</v>
      </c>
      <c r="D43" s="3" t="s">
        <v>161</v>
      </c>
      <c r="E43" s="3" t="s">
        <v>168</v>
      </c>
      <c r="F43" s="3" t="s">
        <v>169</v>
      </c>
      <c r="G43" s="6">
        <v>46265</v>
      </c>
      <c r="H43" s="6">
        <v>46271</v>
      </c>
      <c r="I43" s="3" t="s">
        <v>49</v>
      </c>
      <c r="J43" s="3" t="s">
        <v>43</v>
      </c>
      <c r="K43" s="9">
        <v>0</v>
      </c>
      <c r="L43" s="12">
        <v>2.5</v>
      </c>
      <c r="M43" s="12">
        <v>0</v>
      </c>
      <c r="N43" s="3" t="s">
        <v>160</v>
      </c>
      <c r="O43" s="3" t="s">
        <v>44</v>
      </c>
      <c r="P43" s="15">
        <f t="shared" ca="1" si="0"/>
        <v>19</v>
      </c>
      <c r="Q43" s="3" t="str">
        <f t="shared" ca="1" si="1"/>
        <v>On Track</v>
      </c>
      <c r="R43" s="3"/>
      <c r="S43" s="3"/>
    </row>
    <row r="44" spans="1:19" ht="27" customHeight="1">
      <c r="A44" s="3" t="s">
        <v>170</v>
      </c>
      <c r="B44" s="3" t="s">
        <v>146</v>
      </c>
      <c r="C44" s="3">
        <v>3</v>
      </c>
      <c r="D44" s="3" t="s">
        <v>171</v>
      </c>
      <c r="E44" s="3" t="s">
        <v>172</v>
      </c>
      <c r="F44" s="3" t="s">
        <v>173</v>
      </c>
      <c r="G44" s="6">
        <v>46265</v>
      </c>
      <c r="H44" s="6">
        <v>46271</v>
      </c>
      <c r="I44" s="3" t="s">
        <v>42</v>
      </c>
      <c r="J44" s="3" t="s">
        <v>43</v>
      </c>
      <c r="K44" s="9">
        <v>0</v>
      </c>
      <c r="L44" s="12">
        <v>5</v>
      </c>
      <c r="M44" s="12">
        <v>0</v>
      </c>
      <c r="N44" s="3" t="s">
        <v>145</v>
      </c>
      <c r="O44" s="3" t="s">
        <v>44</v>
      </c>
      <c r="P44" s="15">
        <f t="shared" ca="1" si="0"/>
        <v>19</v>
      </c>
      <c r="Q44" s="3" t="str">
        <f t="shared" ca="1" si="1"/>
        <v>On Track</v>
      </c>
      <c r="R44" s="3"/>
      <c r="S44" s="3"/>
    </row>
    <row r="45" spans="1:19" ht="27" customHeight="1">
      <c r="A45" s="3" t="s">
        <v>174</v>
      </c>
      <c r="B45" s="3" t="s">
        <v>146</v>
      </c>
      <c r="C45" s="3">
        <v>3</v>
      </c>
      <c r="D45" s="3" t="s">
        <v>87</v>
      </c>
      <c r="E45" s="3" t="s">
        <v>175</v>
      </c>
      <c r="F45" s="3" t="s">
        <v>176</v>
      </c>
      <c r="G45" s="6">
        <v>46265</v>
      </c>
      <c r="H45" s="6">
        <v>46271</v>
      </c>
      <c r="I45" s="3" t="s">
        <v>42</v>
      </c>
      <c r="J45" s="3" t="s">
        <v>43</v>
      </c>
      <c r="K45" s="9">
        <v>0</v>
      </c>
      <c r="L45" s="12">
        <v>3</v>
      </c>
      <c r="M45" s="12">
        <v>0</v>
      </c>
      <c r="N45" s="3" t="s">
        <v>160</v>
      </c>
      <c r="O45" s="3" t="s">
        <v>44</v>
      </c>
      <c r="P45" s="15">
        <f t="shared" ca="1" si="0"/>
        <v>19</v>
      </c>
      <c r="Q45" s="3" t="str">
        <f t="shared" ca="1" si="1"/>
        <v>On Track</v>
      </c>
      <c r="R45" s="3"/>
      <c r="S45" s="3"/>
    </row>
    <row r="46" spans="1:19" ht="27" customHeight="1">
      <c r="A46" s="3" t="s">
        <v>177</v>
      </c>
      <c r="B46" s="3" t="s">
        <v>146</v>
      </c>
      <c r="C46" s="3">
        <v>3</v>
      </c>
      <c r="D46" s="3" t="s">
        <v>87</v>
      </c>
      <c r="E46" s="3" t="s">
        <v>178</v>
      </c>
      <c r="F46" s="3" t="s">
        <v>179</v>
      </c>
      <c r="G46" s="6">
        <v>46265</v>
      </c>
      <c r="H46" s="6">
        <v>46271</v>
      </c>
      <c r="I46" s="3" t="s">
        <v>42</v>
      </c>
      <c r="J46" s="3" t="s">
        <v>43</v>
      </c>
      <c r="K46" s="9">
        <v>0</v>
      </c>
      <c r="L46" s="12">
        <v>2</v>
      </c>
      <c r="M46" s="12">
        <v>0</v>
      </c>
      <c r="N46" s="3" t="s">
        <v>174</v>
      </c>
      <c r="O46" s="3" t="s">
        <v>44</v>
      </c>
      <c r="P46" s="15">
        <f t="shared" ca="1" si="0"/>
        <v>19</v>
      </c>
      <c r="Q46" s="3" t="str">
        <f t="shared" ca="1" si="1"/>
        <v>On Track</v>
      </c>
      <c r="R46" s="3"/>
      <c r="S46" s="3"/>
    </row>
    <row r="47" spans="1:19" ht="27" customHeight="1">
      <c r="A47" s="3" t="s">
        <v>180</v>
      </c>
      <c r="B47" s="3" t="s">
        <v>146</v>
      </c>
      <c r="C47" s="3">
        <v>3</v>
      </c>
      <c r="D47" s="3" t="s">
        <v>87</v>
      </c>
      <c r="E47" s="3" t="s">
        <v>181</v>
      </c>
      <c r="F47" s="3" t="s">
        <v>182</v>
      </c>
      <c r="G47" s="6">
        <v>46265</v>
      </c>
      <c r="H47" s="6">
        <v>46271</v>
      </c>
      <c r="I47" s="3" t="s">
        <v>42</v>
      </c>
      <c r="J47" s="3" t="s">
        <v>43</v>
      </c>
      <c r="K47" s="9">
        <v>0</v>
      </c>
      <c r="L47" s="12">
        <v>4</v>
      </c>
      <c r="M47" s="12">
        <v>0</v>
      </c>
      <c r="N47" s="3" t="s">
        <v>86</v>
      </c>
      <c r="O47" s="3" t="s">
        <v>44</v>
      </c>
      <c r="P47" s="15">
        <f t="shared" ca="1" si="0"/>
        <v>19</v>
      </c>
      <c r="Q47" s="3" t="str">
        <f t="shared" ca="1" si="1"/>
        <v>On Track</v>
      </c>
      <c r="R47" s="3"/>
      <c r="S47" s="3"/>
    </row>
    <row r="48" spans="1:19" ht="27" customHeight="1">
      <c r="A48" s="3" t="s">
        <v>183</v>
      </c>
      <c r="B48" s="3" t="s">
        <v>146</v>
      </c>
      <c r="C48" s="3">
        <v>3</v>
      </c>
      <c r="D48" s="3" t="s">
        <v>184</v>
      </c>
      <c r="E48" s="3" t="s">
        <v>185</v>
      </c>
      <c r="F48" s="3" t="s">
        <v>186</v>
      </c>
      <c r="G48" s="6">
        <v>46265</v>
      </c>
      <c r="H48" s="6">
        <v>46271</v>
      </c>
      <c r="I48" s="3" t="s">
        <v>42</v>
      </c>
      <c r="J48" s="3" t="s">
        <v>43</v>
      </c>
      <c r="K48" s="9">
        <v>0</v>
      </c>
      <c r="L48" s="12">
        <v>3</v>
      </c>
      <c r="M48" s="12">
        <v>0</v>
      </c>
      <c r="N48" s="3" t="s">
        <v>177</v>
      </c>
      <c r="O48" s="3" t="s">
        <v>44</v>
      </c>
      <c r="P48" s="15">
        <f t="shared" ca="1" si="0"/>
        <v>19</v>
      </c>
      <c r="Q48" s="3" t="str">
        <f t="shared" ca="1" si="1"/>
        <v>On Track</v>
      </c>
      <c r="R48" s="3"/>
      <c r="S48" s="3"/>
    </row>
    <row r="49" spans="1:19" ht="27" customHeight="1">
      <c r="A49" s="3" t="s">
        <v>187</v>
      </c>
      <c r="B49" s="3" t="s">
        <v>146</v>
      </c>
      <c r="C49" s="3">
        <v>3</v>
      </c>
      <c r="D49" s="3" t="s">
        <v>188</v>
      </c>
      <c r="E49" s="3" t="s">
        <v>189</v>
      </c>
      <c r="F49" s="3" t="s">
        <v>190</v>
      </c>
      <c r="G49" s="6">
        <v>46265</v>
      </c>
      <c r="H49" s="6">
        <v>46271</v>
      </c>
      <c r="I49" s="3" t="s">
        <v>42</v>
      </c>
      <c r="J49" s="3" t="s">
        <v>43</v>
      </c>
      <c r="K49" s="9">
        <v>0</v>
      </c>
      <c r="L49" s="12">
        <v>3</v>
      </c>
      <c r="M49" s="12">
        <v>0</v>
      </c>
      <c r="N49" s="3" t="s">
        <v>150</v>
      </c>
      <c r="O49" s="3" t="s">
        <v>44</v>
      </c>
      <c r="P49" s="15">
        <f t="shared" ca="1" si="0"/>
        <v>19</v>
      </c>
      <c r="Q49" s="3" t="str">
        <f t="shared" ca="1" si="1"/>
        <v>On Track</v>
      </c>
      <c r="R49" s="3"/>
      <c r="S49" s="3"/>
    </row>
    <row r="50" spans="1:19" ht="27" customHeight="1">
      <c r="A50" s="3" t="s">
        <v>191</v>
      </c>
      <c r="B50" s="3" t="s">
        <v>146</v>
      </c>
      <c r="C50" s="3">
        <v>3</v>
      </c>
      <c r="D50" s="3" t="s">
        <v>192</v>
      </c>
      <c r="E50" s="3" t="s">
        <v>193</v>
      </c>
      <c r="F50" s="3" t="s">
        <v>194</v>
      </c>
      <c r="G50" s="6">
        <v>46265</v>
      </c>
      <c r="H50" s="6">
        <v>46271</v>
      </c>
      <c r="I50" s="3" t="s">
        <v>42</v>
      </c>
      <c r="J50" s="3" t="s">
        <v>43</v>
      </c>
      <c r="K50" s="9">
        <v>0</v>
      </c>
      <c r="L50" s="12">
        <v>3</v>
      </c>
      <c r="M50" s="12">
        <v>0</v>
      </c>
      <c r="N50" s="3" t="s">
        <v>93</v>
      </c>
      <c r="O50" s="3" t="s">
        <v>44</v>
      </c>
      <c r="P50" s="15">
        <f t="shared" ca="1" si="0"/>
        <v>19</v>
      </c>
      <c r="Q50" s="3" t="str">
        <f t="shared" ca="1" si="1"/>
        <v>On Track</v>
      </c>
      <c r="R50" s="3"/>
      <c r="S50" s="3"/>
    </row>
    <row r="51" spans="1:19" ht="27" customHeight="1">
      <c r="A51" s="3" t="s">
        <v>195</v>
      </c>
      <c r="B51" s="3" t="s">
        <v>146</v>
      </c>
      <c r="C51" s="3">
        <v>3</v>
      </c>
      <c r="D51" s="3" t="s">
        <v>46</v>
      </c>
      <c r="E51" s="3" t="s">
        <v>196</v>
      </c>
      <c r="F51" s="3" t="s">
        <v>197</v>
      </c>
      <c r="G51" s="6">
        <v>46265</v>
      </c>
      <c r="H51" s="6">
        <v>46271</v>
      </c>
      <c r="I51" s="3" t="s">
        <v>49</v>
      </c>
      <c r="J51" s="3" t="s">
        <v>43</v>
      </c>
      <c r="K51" s="9">
        <v>0</v>
      </c>
      <c r="L51" s="12">
        <v>2</v>
      </c>
      <c r="M51" s="12">
        <v>0</v>
      </c>
      <c r="N51" s="3" t="s">
        <v>160</v>
      </c>
      <c r="O51" s="3" t="s">
        <v>44</v>
      </c>
      <c r="P51" s="15">
        <f t="shared" ca="1" si="0"/>
        <v>19</v>
      </c>
      <c r="Q51" s="3" t="str">
        <f t="shared" ca="1" si="1"/>
        <v>On Track</v>
      </c>
      <c r="R51" s="3"/>
      <c r="S51" s="3"/>
    </row>
    <row r="52" spans="1:19" ht="27" customHeight="1">
      <c r="A52" s="3" t="s">
        <v>198</v>
      </c>
      <c r="B52" s="3" t="s">
        <v>199</v>
      </c>
      <c r="C52" s="3">
        <v>4</v>
      </c>
      <c r="D52" s="3" t="s">
        <v>200</v>
      </c>
      <c r="E52" s="3" t="s">
        <v>201</v>
      </c>
      <c r="F52" s="3" t="s">
        <v>202</v>
      </c>
      <c r="G52" s="6">
        <v>46272</v>
      </c>
      <c r="H52" s="6">
        <v>46278</v>
      </c>
      <c r="I52" s="3" t="s">
        <v>42</v>
      </c>
      <c r="J52" s="3" t="s">
        <v>43</v>
      </c>
      <c r="K52" s="9">
        <v>0</v>
      </c>
      <c r="L52" s="12">
        <v>3</v>
      </c>
      <c r="M52" s="12">
        <v>0</v>
      </c>
      <c r="N52" s="3" t="s">
        <v>195</v>
      </c>
      <c r="O52" s="3" t="s">
        <v>44</v>
      </c>
      <c r="P52" s="15">
        <f t="shared" ca="1" si="0"/>
        <v>26</v>
      </c>
      <c r="Q52" s="3" t="str">
        <f t="shared" ca="1" si="1"/>
        <v>On Track</v>
      </c>
      <c r="R52" s="3"/>
      <c r="S52" s="3"/>
    </row>
    <row r="53" spans="1:19" ht="27" customHeight="1">
      <c r="A53" s="3" t="s">
        <v>203</v>
      </c>
      <c r="B53" s="3" t="s">
        <v>199</v>
      </c>
      <c r="C53" s="3">
        <v>4</v>
      </c>
      <c r="D53" s="3" t="s">
        <v>200</v>
      </c>
      <c r="E53" s="3" t="s">
        <v>204</v>
      </c>
      <c r="F53" s="3" t="s">
        <v>205</v>
      </c>
      <c r="G53" s="6">
        <v>46272</v>
      </c>
      <c r="H53" s="6">
        <v>46278</v>
      </c>
      <c r="I53" s="3" t="s">
        <v>49</v>
      </c>
      <c r="J53" s="3" t="s">
        <v>43</v>
      </c>
      <c r="K53" s="9">
        <v>0</v>
      </c>
      <c r="L53" s="12">
        <v>2</v>
      </c>
      <c r="M53" s="12">
        <v>0</v>
      </c>
      <c r="N53" s="3" t="s">
        <v>198</v>
      </c>
      <c r="O53" s="3" t="s">
        <v>44</v>
      </c>
      <c r="P53" s="15">
        <f t="shared" ca="1" si="0"/>
        <v>26</v>
      </c>
      <c r="Q53" s="3" t="str">
        <f t="shared" ca="1" si="1"/>
        <v>On Track</v>
      </c>
      <c r="R53" s="3"/>
      <c r="S53" s="3"/>
    </row>
    <row r="54" spans="1:19" ht="27" customHeight="1">
      <c r="A54" s="3" t="s">
        <v>206</v>
      </c>
      <c r="B54" s="3" t="s">
        <v>199</v>
      </c>
      <c r="C54" s="3">
        <v>4</v>
      </c>
      <c r="D54" s="3" t="s">
        <v>207</v>
      </c>
      <c r="E54" s="3" t="s">
        <v>208</v>
      </c>
      <c r="F54" s="3" t="s">
        <v>209</v>
      </c>
      <c r="G54" s="6">
        <v>46272</v>
      </c>
      <c r="H54" s="6">
        <v>46278</v>
      </c>
      <c r="I54" s="3" t="s">
        <v>42</v>
      </c>
      <c r="J54" s="3" t="s">
        <v>43</v>
      </c>
      <c r="K54" s="9">
        <v>0</v>
      </c>
      <c r="L54" s="12">
        <v>2</v>
      </c>
      <c r="M54" s="12">
        <v>0</v>
      </c>
      <c r="N54" s="3" t="s">
        <v>198</v>
      </c>
      <c r="O54" s="3" t="s">
        <v>44</v>
      </c>
      <c r="P54" s="15">
        <f t="shared" ca="1" si="0"/>
        <v>26</v>
      </c>
      <c r="Q54" s="3" t="str">
        <f t="shared" ca="1" si="1"/>
        <v>On Track</v>
      </c>
      <c r="R54" s="3"/>
      <c r="S54" s="3"/>
    </row>
    <row r="55" spans="1:19" ht="27" customHeight="1">
      <c r="A55" s="3" t="s">
        <v>210</v>
      </c>
      <c r="B55" s="3" t="s">
        <v>199</v>
      </c>
      <c r="C55" s="3">
        <v>4</v>
      </c>
      <c r="D55" s="3" t="s">
        <v>207</v>
      </c>
      <c r="E55" s="3" t="s">
        <v>211</v>
      </c>
      <c r="F55" s="3" t="s">
        <v>212</v>
      </c>
      <c r="G55" s="6">
        <v>46272</v>
      </c>
      <c r="H55" s="6">
        <v>46278</v>
      </c>
      <c r="I55" s="3" t="s">
        <v>49</v>
      </c>
      <c r="J55" s="3" t="s">
        <v>43</v>
      </c>
      <c r="K55" s="9">
        <v>0</v>
      </c>
      <c r="L55" s="12">
        <v>4</v>
      </c>
      <c r="M55" s="12">
        <v>0</v>
      </c>
      <c r="N55" s="3" t="s">
        <v>206</v>
      </c>
      <c r="O55" s="3" t="s">
        <v>44</v>
      </c>
      <c r="P55" s="15">
        <f t="shared" ca="1" si="0"/>
        <v>26</v>
      </c>
      <c r="Q55" s="3" t="str">
        <f t="shared" ca="1" si="1"/>
        <v>On Track</v>
      </c>
      <c r="R55" s="3"/>
      <c r="S55" s="3"/>
    </row>
    <row r="56" spans="1:19" ht="27" customHeight="1">
      <c r="A56" s="3" t="s">
        <v>213</v>
      </c>
      <c r="B56" s="3" t="s">
        <v>199</v>
      </c>
      <c r="C56" s="3">
        <v>4</v>
      </c>
      <c r="D56" s="3" t="s">
        <v>147</v>
      </c>
      <c r="E56" s="3" t="s">
        <v>214</v>
      </c>
      <c r="F56" s="3" t="s">
        <v>215</v>
      </c>
      <c r="G56" s="6">
        <v>46272</v>
      </c>
      <c r="H56" s="6">
        <v>46278</v>
      </c>
      <c r="I56" s="3" t="s">
        <v>42</v>
      </c>
      <c r="J56" s="3" t="s">
        <v>43</v>
      </c>
      <c r="K56" s="9">
        <v>0</v>
      </c>
      <c r="L56" s="12">
        <v>4</v>
      </c>
      <c r="M56" s="12">
        <v>0</v>
      </c>
      <c r="N56" s="3" t="s">
        <v>198</v>
      </c>
      <c r="O56" s="3" t="s">
        <v>44</v>
      </c>
      <c r="P56" s="15">
        <f t="shared" ca="1" si="0"/>
        <v>26</v>
      </c>
      <c r="Q56" s="3" t="str">
        <f t="shared" ca="1" si="1"/>
        <v>On Track</v>
      </c>
      <c r="R56" s="3"/>
      <c r="S56" s="3"/>
    </row>
    <row r="57" spans="1:19" ht="27" customHeight="1">
      <c r="A57" s="3" t="s">
        <v>216</v>
      </c>
      <c r="B57" s="3" t="s">
        <v>199</v>
      </c>
      <c r="C57" s="3">
        <v>4</v>
      </c>
      <c r="D57" s="3" t="s">
        <v>147</v>
      </c>
      <c r="E57" s="3" t="s">
        <v>217</v>
      </c>
      <c r="F57" s="3" t="s">
        <v>218</v>
      </c>
      <c r="G57" s="6">
        <v>46272</v>
      </c>
      <c r="H57" s="6">
        <v>46278</v>
      </c>
      <c r="I57" s="3" t="s">
        <v>42</v>
      </c>
      <c r="J57" s="3" t="s">
        <v>43</v>
      </c>
      <c r="K57" s="9">
        <v>0</v>
      </c>
      <c r="L57" s="12">
        <v>5</v>
      </c>
      <c r="M57" s="12">
        <v>0</v>
      </c>
      <c r="N57" s="3" t="s">
        <v>213</v>
      </c>
      <c r="O57" s="3" t="s">
        <v>44</v>
      </c>
      <c r="P57" s="15">
        <f t="shared" ca="1" si="0"/>
        <v>26</v>
      </c>
      <c r="Q57" s="3" t="str">
        <f t="shared" ca="1" si="1"/>
        <v>On Track</v>
      </c>
      <c r="R57" s="3"/>
      <c r="S57" s="3"/>
    </row>
    <row r="58" spans="1:19" ht="27" customHeight="1">
      <c r="A58" s="3" t="s">
        <v>219</v>
      </c>
      <c r="B58" s="3" t="s">
        <v>199</v>
      </c>
      <c r="C58" s="3">
        <v>4</v>
      </c>
      <c r="D58" s="3" t="s">
        <v>147</v>
      </c>
      <c r="E58" s="3" t="s">
        <v>220</v>
      </c>
      <c r="F58" s="3" t="s">
        <v>221</v>
      </c>
      <c r="G58" s="6">
        <v>46272</v>
      </c>
      <c r="H58" s="6">
        <v>46278</v>
      </c>
      <c r="I58" s="3" t="s">
        <v>49</v>
      </c>
      <c r="J58" s="3" t="s">
        <v>43</v>
      </c>
      <c r="K58" s="9">
        <v>0</v>
      </c>
      <c r="L58" s="12">
        <v>3</v>
      </c>
      <c r="M58" s="12">
        <v>0</v>
      </c>
      <c r="N58" s="3" t="s">
        <v>216</v>
      </c>
      <c r="O58" s="3" t="s">
        <v>44</v>
      </c>
      <c r="P58" s="15">
        <f t="shared" ca="1" si="0"/>
        <v>26</v>
      </c>
      <c r="Q58" s="3" t="str">
        <f t="shared" ca="1" si="1"/>
        <v>On Track</v>
      </c>
      <c r="R58" s="3"/>
      <c r="S58" s="3"/>
    </row>
    <row r="59" spans="1:19" ht="27" customHeight="1">
      <c r="A59" s="3" t="s">
        <v>222</v>
      </c>
      <c r="B59" s="3" t="s">
        <v>199</v>
      </c>
      <c r="C59" s="3">
        <v>4</v>
      </c>
      <c r="D59" s="3" t="s">
        <v>192</v>
      </c>
      <c r="E59" s="3" t="s">
        <v>223</v>
      </c>
      <c r="F59" s="3" t="s">
        <v>224</v>
      </c>
      <c r="G59" s="6">
        <v>46272</v>
      </c>
      <c r="H59" s="6">
        <v>46278</v>
      </c>
      <c r="I59" s="3" t="s">
        <v>42</v>
      </c>
      <c r="J59" s="3" t="s">
        <v>43</v>
      </c>
      <c r="K59" s="9">
        <v>0</v>
      </c>
      <c r="L59" s="12">
        <v>3</v>
      </c>
      <c r="M59" s="12">
        <v>0</v>
      </c>
      <c r="N59" s="3" t="s">
        <v>198</v>
      </c>
      <c r="O59" s="3" t="s">
        <v>44</v>
      </c>
      <c r="P59" s="15">
        <f t="shared" ca="1" si="0"/>
        <v>26</v>
      </c>
      <c r="Q59" s="3" t="str">
        <f t="shared" ca="1" si="1"/>
        <v>On Track</v>
      </c>
      <c r="R59" s="3"/>
      <c r="S59" s="3"/>
    </row>
    <row r="60" spans="1:19" ht="27" customHeight="1">
      <c r="A60" s="3" t="s">
        <v>225</v>
      </c>
      <c r="B60" s="3" t="s">
        <v>199</v>
      </c>
      <c r="C60" s="3">
        <v>4</v>
      </c>
      <c r="D60" s="3" t="s">
        <v>207</v>
      </c>
      <c r="E60" s="3" t="s">
        <v>226</v>
      </c>
      <c r="F60" s="3" t="s">
        <v>227</v>
      </c>
      <c r="G60" s="6">
        <v>46272</v>
      </c>
      <c r="H60" s="6">
        <v>46278</v>
      </c>
      <c r="I60" s="3" t="s">
        <v>42</v>
      </c>
      <c r="J60" s="3" t="s">
        <v>43</v>
      </c>
      <c r="K60" s="9">
        <v>0</v>
      </c>
      <c r="L60" s="12">
        <v>3</v>
      </c>
      <c r="M60" s="12">
        <v>0</v>
      </c>
      <c r="N60" s="3" t="s">
        <v>203</v>
      </c>
      <c r="O60" s="3" t="s">
        <v>44</v>
      </c>
      <c r="P60" s="15">
        <f t="shared" ca="1" si="0"/>
        <v>26</v>
      </c>
      <c r="Q60" s="3" t="str">
        <f t="shared" ca="1" si="1"/>
        <v>On Track</v>
      </c>
      <c r="R60" s="3"/>
      <c r="S60" s="3"/>
    </row>
    <row r="61" spans="1:19" ht="27" customHeight="1">
      <c r="A61" s="3" t="s">
        <v>228</v>
      </c>
      <c r="B61" s="3" t="s">
        <v>199</v>
      </c>
      <c r="C61" s="3">
        <v>4</v>
      </c>
      <c r="D61" s="3" t="s">
        <v>229</v>
      </c>
      <c r="E61" s="3" t="s">
        <v>230</v>
      </c>
      <c r="F61" s="3" t="s">
        <v>231</v>
      </c>
      <c r="G61" s="6">
        <v>46272</v>
      </c>
      <c r="H61" s="6">
        <v>46278</v>
      </c>
      <c r="I61" s="3" t="s">
        <v>49</v>
      </c>
      <c r="J61" s="3" t="s">
        <v>43</v>
      </c>
      <c r="K61" s="9">
        <v>0</v>
      </c>
      <c r="L61" s="12">
        <v>3</v>
      </c>
      <c r="M61" s="12">
        <v>0</v>
      </c>
      <c r="N61" s="3" t="s">
        <v>198</v>
      </c>
      <c r="O61" s="3" t="s">
        <v>44</v>
      </c>
      <c r="P61" s="15">
        <f t="shared" ca="1" si="0"/>
        <v>26</v>
      </c>
      <c r="Q61" s="3" t="str">
        <f t="shared" ca="1" si="1"/>
        <v>On Track</v>
      </c>
      <c r="R61" s="3"/>
      <c r="S61" s="3"/>
    </row>
    <row r="62" spans="1:19" ht="27" customHeight="1">
      <c r="A62" s="3" t="s">
        <v>232</v>
      </c>
      <c r="B62" s="3" t="s">
        <v>199</v>
      </c>
      <c r="C62" s="3">
        <v>4</v>
      </c>
      <c r="D62" s="3" t="s">
        <v>233</v>
      </c>
      <c r="E62" s="3" t="s">
        <v>234</v>
      </c>
      <c r="F62" s="3" t="s">
        <v>235</v>
      </c>
      <c r="G62" s="6">
        <v>46272</v>
      </c>
      <c r="H62" s="6">
        <v>46278</v>
      </c>
      <c r="I62" s="3" t="s">
        <v>49</v>
      </c>
      <c r="J62" s="3" t="s">
        <v>43</v>
      </c>
      <c r="K62" s="9">
        <v>0</v>
      </c>
      <c r="L62" s="12">
        <v>2.5</v>
      </c>
      <c r="M62" s="12">
        <v>0</v>
      </c>
      <c r="N62" s="3" t="s">
        <v>198</v>
      </c>
      <c r="O62" s="3" t="s">
        <v>44</v>
      </c>
      <c r="P62" s="15">
        <f t="shared" ca="1" si="0"/>
        <v>26</v>
      </c>
      <c r="Q62" s="3" t="str">
        <f t="shared" ca="1" si="1"/>
        <v>On Track</v>
      </c>
      <c r="R62" s="3"/>
      <c r="S62" s="3"/>
    </row>
    <row r="63" spans="1:19" ht="27" customHeight="1">
      <c r="A63" s="3" t="s">
        <v>236</v>
      </c>
      <c r="B63" s="3" t="s">
        <v>199</v>
      </c>
      <c r="C63" s="3">
        <v>4</v>
      </c>
      <c r="D63" s="3" t="s">
        <v>46</v>
      </c>
      <c r="E63" s="3" t="s">
        <v>237</v>
      </c>
      <c r="F63" s="3" t="s">
        <v>238</v>
      </c>
      <c r="G63" s="6">
        <v>46272</v>
      </c>
      <c r="H63" s="6">
        <v>46278</v>
      </c>
      <c r="I63" s="3" t="s">
        <v>42</v>
      </c>
      <c r="J63" s="3" t="s">
        <v>43</v>
      </c>
      <c r="K63" s="9">
        <v>0</v>
      </c>
      <c r="L63" s="12">
        <v>2</v>
      </c>
      <c r="M63" s="12">
        <v>0</v>
      </c>
      <c r="N63" s="3" t="s">
        <v>210</v>
      </c>
      <c r="O63" s="3" t="s">
        <v>44</v>
      </c>
      <c r="P63" s="15">
        <f t="shared" ca="1" si="0"/>
        <v>26</v>
      </c>
      <c r="Q63" s="3" t="str">
        <f t="shared" ca="1" si="1"/>
        <v>On Track</v>
      </c>
      <c r="R63" s="3"/>
      <c r="S63" s="3"/>
    </row>
    <row r="64" spans="1:19" ht="27" customHeight="1">
      <c r="A64" s="3" t="s">
        <v>239</v>
      </c>
      <c r="B64" s="3" t="s">
        <v>199</v>
      </c>
      <c r="C64" s="3">
        <v>5</v>
      </c>
      <c r="D64" s="3" t="s">
        <v>70</v>
      </c>
      <c r="E64" s="3" t="s">
        <v>240</v>
      </c>
      <c r="F64" s="3" t="s">
        <v>241</v>
      </c>
      <c r="G64" s="6">
        <v>46279</v>
      </c>
      <c r="H64" s="6">
        <v>46285</v>
      </c>
      <c r="I64" s="3" t="s">
        <v>42</v>
      </c>
      <c r="J64" s="3" t="s">
        <v>43</v>
      </c>
      <c r="K64" s="9">
        <v>0</v>
      </c>
      <c r="L64" s="12">
        <v>2</v>
      </c>
      <c r="M64" s="12">
        <v>0</v>
      </c>
      <c r="N64" s="3" t="s">
        <v>73</v>
      </c>
      <c r="O64" s="3" t="s">
        <v>44</v>
      </c>
      <c r="P64" s="15">
        <f t="shared" ca="1" si="0"/>
        <v>33</v>
      </c>
      <c r="Q64" s="3" t="str">
        <f t="shared" ca="1" si="1"/>
        <v>On Track</v>
      </c>
      <c r="R64" s="3"/>
      <c r="S64" s="3"/>
    </row>
    <row r="65" spans="1:19" ht="27" customHeight="1">
      <c r="A65" s="3" t="s">
        <v>242</v>
      </c>
      <c r="B65" s="3" t="s">
        <v>199</v>
      </c>
      <c r="C65" s="3">
        <v>5</v>
      </c>
      <c r="D65" s="3" t="s">
        <v>229</v>
      </c>
      <c r="E65" s="3" t="s">
        <v>243</v>
      </c>
      <c r="F65" s="3" t="s">
        <v>244</v>
      </c>
      <c r="G65" s="6">
        <v>46279</v>
      </c>
      <c r="H65" s="6">
        <v>46285</v>
      </c>
      <c r="I65" s="3" t="s">
        <v>42</v>
      </c>
      <c r="J65" s="3" t="s">
        <v>43</v>
      </c>
      <c r="K65" s="9">
        <v>0</v>
      </c>
      <c r="L65" s="12">
        <v>4</v>
      </c>
      <c r="M65" s="12">
        <v>0</v>
      </c>
      <c r="N65" s="3" t="s">
        <v>239</v>
      </c>
      <c r="O65" s="3" t="s">
        <v>44</v>
      </c>
      <c r="P65" s="15">
        <f t="shared" ca="1" si="0"/>
        <v>33</v>
      </c>
      <c r="Q65" s="3" t="str">
        <f t="shared" ca="1" si="1"/>
        <v>On Track</v>
      </c>
      <c r="R65" s="3"/>
      <c r="S65" s="3"/>
    </row>
    <row r="66" spans="1:19" ht="27" customHeight="1">
      <c r="A66" s="3" t="s">
        <v>245</v>
      </c>
      <c r="B66" s="3" t="s">
        <v>199</v>
      </c>
      <c r="C66" s="3">
        <v>5</v>
      </c>
      <c r="D66" s="3" t="s">
        <v>147</v>
      </c>
      <c r="E66" s="3" t="s">
        <v>246</v>
      </c>
      <c r="F66" s="3" t="s">
        <v>247</v>
      </c>
      <c r="G66" s="6">
        <v>46279</v>
      </c>
      <c r="H66" s="6">
        <v>46285</v>
      </c>
      <c r="I66" s="3" t="s">
        <v>42</v>
      </c>
      <c r="J66" s="3" t="s">
        <v>43</v>
      </c>
      <c r="K66" s="9">
        <v>0</v>
      </c>
      <c r="L66" s="12">
        <v>3</v>
      </c>
      <c r="M66" s="12">
        <v>0</v>
      </c>
      <c r="N66" s="3" t="s">
        <v>242</v>
      </c>
      <c r="O66" s="3" t="s">
        <v>44</v>
      </c>
      <c r="P66" s="15">
        <f t="shared" ca="1" si="0"/>
        <v>33</v>
      </c>
      <c r="Q66" s="3" t="str">
        <f t="shared" ca="1" si="1"/>
        <v>On Track</v>
      </c>
      <c r="R66" s="3"/>
      <c r="S66" s="3"/>
    </row>
    <row r="67" spans="1:19" ht="27" customHeight="1">
      <c r="A67" s="3" t="s">
        <v>248</v>
      </c>
      <c r="B67" s="3" t="s">
        <v>199</v>
      </c>
      <c r="C67" s="3">
        <v>5</v>
      </c>
      <c r="D67" s="3" t="s">
        <v>229</v>
      </c>
      <c r="E67" s="3" t="s">
        <v>249</v>
      </c>
      <c r="F67" s="3" t="s">
        <v>250</v>
      </c>
      <c r="G67" s="6">
        <v>46279</v>
      </c>
      <c r="H67" s="6">
        <v>46285</v>
      </c>
      <c r="I67" s="3" t="s">
        <v>49</v>
      </c>
      <c r="J67" s="3" t="s">
        <v>43</v>
      </c>
      <c r="K67" s="9">
        <v>0</v>
      </c>
      <c r="L67" s="12">
        <v>3</v>
      </c>
      <c r="M67" s="12">
        <v>0</v>
      </c>
      <c r="N67" s="3" t="s">
        <v>245</v>
      </c>
      <c r="O67" s="3" t="s">
        <v>44</v>
      </c>
      <c r="P67" s="15">
        <f t="shared" ca="1" si="0"/>
        <v>33</v>
      </c>
      <c r="Q67" s="3" t="str">
        <f t="shared" ca="1" si="1"/>
        <v>On Track</v>
      </c>
      <c r="R67" s="3"/>
      <c r="S67" s="3"/>
    </row>
    <row r="68" spans="1:19" ht="27" customHeight="1">
      <c r="A68" s="3" t="s">
        <v>251</v>
      </c>
      <c r="B68" s="3" t="s">
        <v>199</v>
      </c>
      <c r="C68" s="3">
        <v>5</v>
      </c>
      <c r="D68" s="3" t="s">
        <v>229</v>
      </c>
      <c r="E68" s="3" t="s">
        <v>252</v>
      </c>
      <c r="F68" s="3" t="s">
        <v>253</v>
      </c>
      <c r="G68" s="6">
        <v>46279</v>
      </c>
      <c r="H68" s="6">
        <v>46285</v>
      </c>
      <c r="I68" s="3" t="s">
        <v>42</v>
      </c>
      <c r="J68" s="3" t="s">
        <v>43</v>
      </c>
      <c r="K68" s="9">
        <v>0</v>
      </c>
      <c r="L68" s="12">
        <v>5</v>
      </c>
      <c r="M68" s="12">
        <v>0</v>
      </c>
      <c r="N68" s="3" t="s">
        <v>245</v>
      </c>
      <c r="O68" s="3" t="s">
        <v>44</v>
      </c>
      <c r="P68" s="15">
        <f t="shared" ca="1" si="0"/>
        <v>33</v>
      </c>
      <c r="Q68" s="3" t="str">
        <f t="shared" ca="1" si="1"/>
        <v>On Track</v>
      </c>
      <c r="R68" s="3"/>
      <c r="S68" s="3"/>
    </row>
    <row r="69" spans="1:19" ht="27" customHeight="1">
      <c r="A69" s="3" t="s">
        <v>254</v>
      </c>
      <c r="B69" s="3" t="s">
        <v>199</v>
      </c>
      <c r="C69" s="3">
        <v>5</v>
      </c>
      <c r="D69" s="3" t="s">
        <v>229</v>
      </c>
      <c r="E69" s="3" t="s">
        <v>255</v>
      </c>
      <c r="F69" s="3" t="s">
        <v>256</v>
      </c>
      <c r="G69" s="6">
        <v>46279</v>
      </c>
      <c r="H69" s="6">
        <v>46285</v>
      </c>
      <c r="I69" s="3" t="s">
        <v>42</v>
      </c>
      <c r="J69" s="3" t="s">
        <v>43</v>
      </c>
      <c r="K69" s="9">
        <v>0</v>
      </c>
      <c r="L69" s="12">
        <v>5</v>
      </c>
      <c r="M69" s="12">
        <v>0</v>
      </c>
      <c r="N69" s="3" t="s">
        <v>245</v>
      </c>
      <c r="O69" s="3" t="s">
        <v>44</v>
      </c>
      <c r="P69" s="15">
        <f t="shared" ca="1" si="0"/>
        <v>33</v>
      </c>
      <c r="Q69" s="3" t="str">
        <f t="shared" ca="1" si="1"/>
        <v>On Track</v>
      </c>
      <c r="R69" s="3"/>
      <c r="S69" s="3"/>
    </row>
    <row r="70" spans="1:19" ht="27" customHeight="1">
      <c r="A70" s="3" t="s">
        <v>257</v>
      </c>
      <c r="B70" s="3" t="s">
        <v>199</v>
      </c>
      <c r="C70" s="3">
        <v>5</v>
      </c>
      <c r="D70" s="3" t="s">
        <v>229</v>
      </c>
      <c r="E70" s="3" t="s">
        <v>258</v>
      </c>
      <c r="F70" s="3" t="s">
        <v>259</v>
      </c>
      <c r="G70" s="6">
        <v>46279</v>
      </c>
      <c r="H70" s="6">
        <v>46285</v>
      </c>
      <c r="I70" s="3" t="s">
        <v>49</v>
      </c>
      <c r="J70" s="3" t="s">
        <v>43</v>
      </c>
      <c r="K70" s="9">
        <v>0</v>
      </c>
      <c r="L70" s="12">
        <v>3</v>
      </c>
      <c r="M70" s="12">
        <v>0</v>
      </c>
      <c r="N70" s="3" t="s">
        <v>245</v>
      </c>
      <c r="O70" s="3" t="s">
        <v>44</v>
      </c>
      <c r="P70" s="15">
        <f t="shared" ref="P70:P133" ca="1" si="2">IF(OR(J70="Complete",J70="Deferred"),"",H70-TODAY())</f>
        <v>33</v>
      </c>
      <c r="Q70" s="3" t="str">
        <f t="shared" ref="Q70:Q133" ca="1" si="3">IF(J70="Complete","Complete",IF(J70="Deferred","Deferred",IF(J70="Blocked","Blocked",IF(H70&lt;TODAY(),"Overdue",IF(H70-TODAY()&lt;=3,"Due Soon","On Track")))))</f>
        <v>On Track</v>
      </c>
      <c r="R70" s="3"/>
      <c r="S70" s="3"/>
    </row>
    <row r="71" spans="1:19" ht="27" customHeight="1">
      <c r="A71" s="3" t="s">
        <v>260</v>
      </c>
      <c r="B71" s="3" t="s">
        <v>199</v>
      </c>
      <c r="C71" s="3">
        <v>5</v>
      </c>
      <c r="D71" s="3" t="s">
        <v>261</v>
      </c>
      <c r="E71" s="3" t="s">
        <v>262</v>
      </c>
      <c r="F71" s="3" t="s">
        <v>263</v>
      </c>
      <c r="G71" s="6">
        <v>46279</v>
      </c>
      <c r="H71" s="6">
        <v>46285</v>
      </c>
      <c r="I71" s="3" t="s">
        <v>42</v>
      </c>
      <c r="J71" s="3" t="s">
        <v>43</v>
      </c>
      <c r="K71" s="9">
        <v>0</v>
      </c>
      <c r="L71" s="12">
        <v>4</v>
      </c>
      <c r="M71" s="12">
        <v>0</v>
      </c>
      <c r="N71" s="3" t="s">
        <v>254</v>
      </c>
      <c r="O71" s="3" t="s">
        <v>44</v>
      </c>
      <c r="P71" s="15">
        <f t="shared" ca="1" si="2"/>
        <v>33</v>
      </c>
      <c r="Q71" s="3" t="str">
        <f t="shared" ca="1" si="3"/>
        <v>On Track</v>
      </c>
      <c r="R71" s="3"/>
      <c r="S71" s="3"/>
    </row>
    <row r="72" spans="1:19" ht="27" customHeight="1">
      <c r="A72" s="3" t="s">
        <v>264</v>
      </c>
      <c r="B72" s="3" t="s">
        <v>199</v>
      </c>
      <c r="C72" s="3">
        <v>5</v>
      </c>
      <c r="D72" s="3" t="s">
        <v>147</v>
      </c>
      <c r="E72" s="3" t="s">
        <v>265</v>
      </c>
      <c r="F72" s="3" t="s">
        <v>266</v>
      </c>
      <c r="G72" s="6">
        <v>46279</v>
      </c>
      <c r="H72" s="6">
        <v>46285</v>
      </c>
      <c r="I72" s="3" t="s">
        <v>42</v>
      </c>
      <c r="J72" s="3" t="s">
        <v>43</v>
      </c>
      <c r="K72" s="9">
        <v>0</v>
      </c>
      <c r="L72" s="12">
        <v>3</v>
      </c>
      <c r="M72" s="12">
        <v>0</v>
      </c>
      <c r="N72" s="3" t="s">
        <v>242</v>
      </c>
      <c r="O72" s="3" t="s">
        <v>44</v>
      </c>
      <c r="P72" s="15">
        <f t="shared" ca="1" si="2"/>
        <v>33</v>
      </c>
      <c r="Q72" s="3" t="str">
        <f t="shared" ca="1" si="3"/>
        <v>On Track</v>
      </c>
      <c r="R72" s="3"/>
      <c r="S72" s="3"/>
    </row>
    <row r="73" spans="1:19" ht="27" customHeight="1">
      <c r="A73" s="3" t="s">
        <v>267</v>
      </c>
      <c r="B73" s="3" t="s">
        <v>199</v>
      </c>
      <c r="C73" s="3">
        <v>5</v>
      </c>
      <c r="D73" s="3" t="s">
        <v>268</v>
      </c>
      <c r="E73" s="3" t="s">
        <v>269</v>
      </c>
      <c r="F73" s="3" t="s">
        <v>270</v>
      </c>
      <c r="G73" s="6">
        <v>46279</v>
      </c>
      <c r="H73" s="6">
        <v>46285</v>
      </c>
      <c r="I73" s="3" t="s">
        <v>42</v>
      </c>
      <c r="J73" s="3" t="s">
        <v>43</v>
      </c>
      <c r="K73" s="9">
        <v>0</v>
      </c>
      <c r="L73" s="12">
        <v>5</v>
      </c>
      <c r="M73" s="12">
        <v>0</v>
      </c>
      <c r="N73" s="3" t="s">
        <v>254</v>
      </c>
      <c r="O73" s="3" t="s">
        <v>44</v>
      </c>
      <c r="P73" s="15">
        <f t="shared" ca="1" si="2"/>
        <v>33</v>
      </c>
      <c r="Q73" s="3" t="str">
        <f t="shared" ca="1" si="3"/>
        <v>On Track</v>
      </c>
      <c r="R73" s="3"/>
      <c r="S73" s="3"/>
    </row>
    <row r="74" spans="1:19" ht="27" customHeight="1">
      <c r="A74" s="3" t="s">
        <v>271</v>
      </c>
      <c r="B74" s="3" t="s">
        <v>199</v>
      </c>
      <c r="C74" s="3">
        <v>5</v>
      </c>
      <c r="D74" s="3" t="s">
        <v>268</v>
      </c>
      <c r="E74" s="3" t="s">
        <v>272</v>
      </c>
      <c r="F74" s="3" t="s">
        <v>273</v>
      </c>
      <c r="G74" s="6">
        <v>46279</v>
      </c>
      <c r="H74" s="6">
        <v>46285</v>
      </c>
      <c r="I74" s="3" t="s">
        <v>49</v>
      </c>
      <c r="J74" s="3" t="s">
        <v>43</v>
      </c>
      <c r="K74" s="9">
        <v>0</v>
      </c>
      <c r="L74" s="12">
        <v>3</v>
      </c>
      <c r="M74" s="12">
        <v>0</v>
      </c>
      <c r="N74" s="3" t="s">
        <v>260</v>
      </c>
      <c r="O74" s="3" t="s">
        <v>44</v>
      </c>
      <c r="P74" s="15">
        <f t="shared" ca="1" si="2"/>
        <v>33</v>
      </c>
      <c r="Q74" s="3" t="str">
        <f t="shared" ca="1" si="3"/>
        <v>On Track</v>
      </c>
      <c r="R74" s="3"/>
      <c r="S74" s="3"/>
    </row>
    <row r="75" spans="1:19" ht="27" customHeight="1">
      <c r="A75" s="3" t="s">
        <v>274</v>
      </c>
      <c r="B75" s="3" t="s">
        <v>199</v>
      </c>
      <c r="C75" s="3">
        <v>5</v>
      </c>
      <c r="D75" s="3" t="s">
        <v>192</v>
      </c>
      <c r="E75" s="3" t="s">
        <v>275</v>
      </c>
      <c r="F75" s="3" t="s">
        <v>276</v>
      </c>
      <c r="G75" s="6">
        <v>46279</v>
      </c>
      <c r="H75" s="6">
        <v>46285</v>
      </c>
      <c r="I75" s="3" t="s">
        <v>42</v>
      </c>
      <c r="J75" s="3" t="s">
        <v>43</v>
      </c>
      <c r="K75" s="9">
        <v>0</v>
      </c>
      <c r="L75" s="12">
        <v>4</v>
      </c>
      <c r="M75" s="12">
        <v>0</v>
      </c>
      <c r="N75" s="3" t="s">
        <v>267</v>
      </c>
      <c r="O75" s="3" t="s">
        <v>44</v>
      </c>
      <c r="P75" s="15">
        <f t="shared" ca="1" si="2"/>
        <v>33</v>
      </c>
      <c r="Q75" s="3" t="str">
        <f t="shared" ca="1" si="3"/>
        <v>On Track</v>
      </c>
      <c r="R75" s="3"/>
      <c r="S75" s="3"/>
    </row>
    <row r="76" spans="1:19" ht="27" customHeight="1">
      <c r="A76" s="3" t="s">
        <v>277</v>
      </c>
      <c r="B76" s="3" t="s">
        <v>278</v>
      </c>
      <c r="C76" s="3">
        <v>6</v>
      </c>
      <c r="D76" s="3" t="s">
        <v>279</v>
      </c>
      <c r="E76" s="3" t="s">
        <v>280</v>
      </c>
      <c r="F76" s="3" t="s">
        <v>281</v>
      </c>
      <c r="G76" s="6">
        <v>46286</v>
      </c>
      <c r="H76" s="6">
        <v>46292</v>
      </c>
      <c r="I76" s="3" t="s">
        <v>42</v>
      </c>
      <c r="J76" s="3" t="s">
        <v>43</v>
      </c>
      <c r="K76" s="9">
        <v>0</v>
      </c>
      <c r="L76" s="12">
        <v>4</v>
      </c>
      <c r="M76" s="12">
        <v>0</v>
      </c>
      <c r="N76" s="3" t="s">
        <v>254</v>
      </c>
      <c r="O76" s="3" t="s">
        <v>44</v>
      </c>
      <c r="P76" s="15">
        <f t="shared" ca="1" si="2"/>
        <v>40</v>
      </c>
      <c r="Q76" s="3" t="str">
        <f t="shared" ca="1" si="3"/>
        <v>On Track</v>
      </c>
      <c r="R76" s="3"/>
      <c r="S76" s="3"/>
    </row>
    <row r="77" spans="1:19" ht="27" customHeight="1">
      <c r="A77" s="3" t="s">
        <v>282</v>
      </c>
      <c r="B77" s="3" t="s">
        <v>278</v>
      </c>
      <c r="C77" s="3">
        <v>6</v>
      </c>
      <c r="D77" s="3" t="s">
        <v>279</v>
      </c>
      <c r="E77" s="3" t="s">
        <v>283</v>
      </c>
      <c r="F77" s="3" t="s">
        <v>284</v>
      </c>
      <c r="G77" s="6">
        <v>46286</v>
      </c>
      <c r="H77" s="6">
        <v>46292</v>
      </c>
      <c r="I77" s="3" t="s">
        <v>49</v>
      </c>
      <c r="J77" s="3" t="s">
        <v>43</v>
      </c>
      <c r="K77" s="9">
        <v>0</v>
      </c>
      <c r="L77" s="12">
        <v>3</v>
      </c>
      <c r="M77" s="12">
        <v>0</v>
      </c>
      <c r="N77" s="3" t="s">
        <v>277</v>
      </c>
      <c r="O77" s="3" t="s">
        <v>44</v>
      </c>
      <c r="P77" s="15">
        <f t="shared" ca="1" si="2"/>
        <v>40</v>
      </c>
      <c r="Q77" s="3" t="str">
        <f t="shared" ca="1" si="3"/>
        <v>On Track</v>
      </c>
      <c r="R77" s="3"/>
      <c r="S77" s="3"/>
    </row>
    <row r="78" spans="1:19" ht="27" customHeight="1">
      <c r="A78" s="3" t="s">
        <v>285</v>
      </c>
      <c r="B78" s="3" t="s">
        <v>278</v>
      </c>
      <c r="C78" s="3">
        <v>6</v>
      </c>
      <c r="D78" s="3" t="s">
        <v>279</v>
      </c>
      <c r="E78" s="3" t="s">
        <v>286</v>
      </c>
      <c r="F78" s="3" t="s">
        <v>287</v>
      </c>
      <c r="G78" s="6">
        <v>46286</v>
      </c>
      <c r="H78" s="6">
        <v>46292</v>
      </c>
      <c r="I78" s="3" t="s">
        <v>42</v>
      </c>
      <c r="J78" s="3" t="s">
        <v>43</v>
      </c>
      <c r="K78" s="9">
        <v>0</v>
      </c>
      <c r="L78" s="12">
        <v>4</v>
      </c>
      <c r="M78" s="12">
        <v>0</v>
      </c>
      <c r="N78" s="3" t="s">
        <v>257</v>
      </c>
      <c r="O78" s="3" t="s">
        <v>44</v>
      </c>
      <c r="P78" s="15">
        <f t="shared" ca="1" si="2"/>
        <v>40</v>
      </c>
      <c r="Q78" s="3" t="str">
        <f t="shared" ca="1" si="3"/>
        <v>On Track</v>
      </c>
      <c r="R78" s="3"/>
      <c r="S78" s="3"/>
    </row>
    <row r="79" spans="1:19" ht="27" customHeight="1">
      <c r="A79" s="3" t="s">
        <v>288</v>
      </c>
      <c r="B79" s="3" t="s">
        <v>278</v>
      </c>
      <c r="C79" s="3">
        <v>6</v>
      </c>
      <c r="D79" s="3" t="s">
        <v>279</v>
      </c>
      <c r="E79" s="3" t="s">
        <v>289</v>
      </c>
      <c r="F79" s="3" t="s">
        <v>290</v>
      </c>
      <c r="G79" s="6">
        <v>46286</v>
      </c>
      <c r="H79" s="6">
        <v>46292</v>
      </c>
      <c r="I79" s="3" t="s">
        <v>42</v>
      </c>
      <c r="J79" s="3" t="s">
        <v>43</v>
      </c>
      <c r="K79" s="9">
        <v>0</v>
      </c>
      <c r="L79" s="12">
        <v>4</v>
      </c>
      <c r="M79" s="12">
        <v>0</v>
      </c>
      <c r="N79" s="3" t="s">
        <v>251</v>
      </c>
      <c r="O79" s="3" t="s">
        <v>44</v>
      </c>
      <c r="P79" s="15">
        <f t="shared" ca="1" si="2"/>
        <v>40</v>
      </c>
      <c r="Q79" s="3" t="str">
        <f t="shared" ca="1" si="3"/>
        <v>On Track</v>
      </c>
      <c r="R79" s="3"/>
      <c r="S79" s="3"/>
    </row>
    <row r="80" spans="1:19" ht="27" customHeight="1">
      <c r="A80" s="3" t="s">
        <v>291</v>
      </c>
      <c r="B80" s="3" t="s">
        <v>278</v>
      </c>
      <c r="C80" s="3">
        <v>6</v>
      </c>
      <c r="D80" s="3" t="s">
        <v>279</v>
      </c>
      <c r="E80" s="3" t="s">
        <v>292</v>
      </c>
      <c r="F80" s="3" t="s">
        <v>293</v>
      </c>
      <c r="G80" s="6">
        <v>46286</v>
      </c>
      <c r="H80" s="6">
        <v>46292</v>
      </c>
      <c r="I80" s="3" t="s">
        <v>49</v>
      </c>
      <c r="J80" s="3" t="s">
        <v>43</v>
      </c>
      <c r="K80" s="9">
        <v>0</v>
      </c>
      <c r="L80" s="12">
        <v>3</v>
      </c>
      <c r="M80" s="12">
        <v>0</v>
      </c>
      <c r="N80" s="3" t="s">
        <v>288</v>
      </c>
      <c r="O80" s="3" t="s">
        <v>44</v>
      </c>
      <c r="P80" s="15">
        <f t="shared" ca="1" si="2"/>
        <v>40</v>
      </c>
      <c r="Q80" s="3" t="str">
        <f t="shared" ca="1" si="3"/>
        <v>On Track</v>
      </c>
      <c r="R80" s="3"/>
      <c r="S80" s="3"/>
    </row>
    <row r="81" spans="1:19" ht="27" customHeight="1">
      <c r="A81" s="3" t="s">
        <v>294</v>
      </c>
      <c r="B81" s="3" t="s">
        <v>278</v>
      </c>
      <c r="C81" s="3">
        <v>6</v>
      </c>
      <c r="D81" s="3" t="s">
        <v>279</v>
      </c>
      <c r="E81" s="3" t="s">
        <v>295</v>
      </c>
      <c r="F81" s="3" t="s">
        <v>296</v>
      </c>
      <c r="G81" s="6">
        <v>46286</v>
      </c>
      <c r="H81" s="6">
        <v>46292</v>
      </c>
      <c r="I81" s="3" t="s">
        <v>49</v>
      </c>
      <c r="J81" s="3" t="s">
        <v>43</v>
      </c>
      <c r="K81" s="9">
        <v>0</v>
      </c>
      <c r="L81" s="12">
        <v>3</v>
      </c>
      <c r="M81" s="12">
        <v>0</v>
      </c>
      <c r="N81" s="3" t="s">
        <v>251</v>
      </c>
      <c r="O81" s="3" t="s">
        <v>44</v>
      </c>
      <c r="P81" s="15">
        <f t="shared" ca="1" si="2"/>
        <v>40</v>
      </c>
      <c r="Q81" s="3" t="str">
        <f t="shared" ca="1" si="3"/>
        <v>On Track</v>
      </c>
      <c r="R81" s="3"/>
      <c r="S81" s="3"/>
    </row>
    <row r="82" spans="1:19" ht="27" customHeight="1">
      <c r="A82" s="3" t="s">
        <v>297</v>
      </c>
      <c r="B82" s="3" t="s">
        <v>278</v>
      </c>
      <c r="C82" s="3">
        <v>6</v>
      </c>
      <c r="D82" s="3" t="s">
        <v>279</v>
      </c>
      <c r="E82" s="3" t="s">
        <v>298</v>
      </c>
      <c r="F82" s="3" t="s">
        <v>299</v>
      </c>
      <c r="G82" s="6">
        <v>46286</v>
      </c>
      <c r="H82" s="6">
        <v>46292</v>
      </c>
      <c r="I82" s="3" t="s">
        <v>42</v>
      </c>
      <c r="J82" s="3" t="s">
        <v>43</v>
      </c>
      <c r="K82" s="9">
        <v>0</v>
      </c>
      <c r="L82" s="12">
        <v>4</v>
      </c>
      <c r="M82" s="12">
        <v>0</v>
      </c>
      <c r="N82" s="3" t="s">
        <v>251</v>
      </c>
      <c r="O82" s="3" t="s">
        <v>44</v>
      </c>
      <c r="P82" s="15">
        <f t="shared" ca="1" si="2"/>
        <v>40</v>
      </c>
      <c r="Q82" s="3" t="str">
        <f t="shared" ca="1" si="3"/>
        <v>On Track</v>
      </c>
      <c r="R82" s="3"/>
      <c r="S82" s="3"/>
    </row>
    <row r="83" spans="1:19" ht="27" customHeight="1">
      <c r="A83" s="3" t="s">
        <v>300</v>
      </c>
      <c r="B83" s="3" t="s">
        <v>278</v>
      </c>
      <c r="C83" s="3">
        <v>6</v>
      </c>
      <c r="D83" s="3" t="s">
        <v>301</v>
      </c>
      <c r="E83" s="3" t="s">
        <v>302</v>
      </c>
      <c r="F83" s="3" t="s">
        <v>303</v>
      </c>
      <c r="G83" s="6">
        <v>46286</v>
      </c>
      <c r="H83" s="6">
        <v>46292</v>
      </c>
      <c r="I83" s="3" t="s">
        <v>49</v>
      </c>
      <c r="J83" s="3" t="s">
        <v>43</v>
      </c>
      <c r="K83" s="9">
        <v>0</v>
      </c>
      <c r="L83" s="12">
        <v>4</v>
      </c>
      <c r="M83" s="12">
        <v>0</v>
      </c>
      <c r="N83" s="3" t="s">
        <v>288</v>
      </c>
      <c r="O83" s="3" t="s">
        <v>44</v>
      </c>
      <c r="P83" s="15">
        <f t="shared" ca="1" si="2"/>
        <v>40</v>
      </c>
      <c r="Q83" s="3" t="str">
        <f t="shared" ca="1" si="3"/>
        <v>On Track</v>
      </c>
      <c r="R83" s="3"/>
      <c r="S83" s="3"/>
    </row>
    <row r="84" spans="1:19" ht="27" customHeight="1">
      <c r="A84" s="3" t="s">
        <v>304</v>
      </c>
      <c r="B84" s="3" t="s">
        <v>278</v>
      </c>
      <c r="C84" s="3">
        <v>6</v>
      </c>
      <c r="D84" s="3" t="s">
        <v>101</v>
      </c>
      <c r="E84" s="3" t="s">
        <v>305</v>
      </c>
      <c r="F84" s="3" t="s">
        <v>306</v>
      </c>
      <c r="G84" s="6">
        <v>46286</v>
      </c>
      <c r="H84" s="6">
        <v>46292</v>
      </c>
      <c r="I84" s="3" t="s">
        <v>42</v>
      </c>
      <c r="J84" s="3" t="s">
        <v>43</v>
      </c>
      <c r="K84" s="9">
        <v>0</v>
      </c>
      <c r="L84" s="12">
        <v>3</v>
      </c>
      <c r="M84" s="12">
        <v>0</v>
      </c>
      <c r="N84" s="3" t="s">
        <v>271</v>
      </c>
      <c r="O84" s="3" t="s">
        <v>44</v>
      </c>
      <c r="P84" s="15">
        <f t="shared" ca="1" si="2"/>
        <v>40</v>
      </c>
      <c r="Q84" s="3" t="str">
        <f t="shared" ca="1" si="3"/>
        <v>On Track</v>
      </c>
      <c r="R84" s="3"/>
      <c r="S84" s="3"/>
    </row>
    <row r="85" spans="1:19" ht="27" customHeight="1">
      <c r="A85" s="3" t="s">
        <v>307</v>
      </c>
      <c r="B85" s="3" t="s">
        <v>278</v>
      </c>
      <c r="C85" s="3">
        <v>6</v>
      </c>
      <c r="D85" s="3" t="s">
        <v>142</v>
      </c>
      <c r="E85" s="3" t="s">
        <v>308</v>
      </c>
      <c r="F85" s="3" t="s">
        <v>309</v>
      </c>
      <c r="G85" s="6">
        <v>46286</v>
      </c>
      <c r="H85" s="6">
        <v>46292</v>
      </c>
      <c r="I85" s="3" t="s">
        <v>42</v>
      </c>
      <c r="J85" s="3" t="s">
        <v>43</v>
      </c>
      <c r="K85" s="9">
        <v>0</v>
      </c>
      <c r="L85" s="12">
        <v>4</v>
      </c>
      <c r="M85" s="12">
        <v>0</v>
      </c>
      <c r="N85" s="3" t="s">
        <v>277</v>
      </c>
      <c r="O85" s="3" t="s">
        <v>44</v>
      </c>
      <c r="P85" s="15">
        <f t="shared" ca="1" si="2"/>
        <v>40</v>
      </c>
      <c r="Q85" s="3" t="str">
        <f t="shared" ca="1" si="3"/>
        <v>On Track</v>
      </c>
      <c r="R85" s="3"/>
      <c r="S85" s="3"/>
    </row>
    <row r="86" spans="1:19" ht="27" customHeight="1">
      <c r="A86" s="3" t="s">
        <v>310</v>
      </c>
      <c r="B86" s="3" t="s">
        <v>278</v>
      </c>
      <c r="C86" s="3">
        <v>6</v>
      </c>
      <c r="D86" s="3" t="s">
        <v>192</v>
      </c>
      <c r="E86" s="3" t="s">
        <v>311</v>
      </c>
      <c r="F86" s="3" t="s">
        <v>312</v>
      </c>
      <c r="G86" s="6">
        <v>46286</v>
      </c>
      <c r="H86" s="6">
        <v>46292</v>
      </c>
      <c r="I86" s="3" t="s">
        <v>42</v>
      </c>
      <c r="J86" s="3" t="s">
        <v>43</v>
      </c>
      <c r="K86" s="9">
        <v>0</v>
      </c>
      <c r="L86" s="12">
        <v>4</v>
      </c>
      <c r="M86" s="12">
        <v>0</v>
      </c>
      <c r="N86" s="3" t="s">
        <v>285</v>
      </c>
      <c r="O86" s="3" t="s">
        <v>44</v>
      </c>
      <c r="P86" s="15">
        <f t="shared" ca="1" si="2"/>
        <v>40</v>
      </c>
      <c r="Q86" s="3" t="str">
        <f t="shared" ca="1" si="3"/>
        <v>On Track</v>
      </c>
      <c r="R86" s="3"/>
      <c r="S86" s="3"/>
    </row>
    <row r="87" spans="1:19" ht="27" customHeight="1">
      <c r="A87" s="3" t="s">
        <v>313</v>
      </c>
      <c r="B87" s="3" t="s">
        <v>278</v>
      </c>
      <c r="C87" s="3">
        <v>7</v>
      </c>
      <c r="D87" s="3" t="s">
        <v>279</v>
      </c>
      <c r="E87" s="3" t="s">
        <v>314</v>
      </c>
      <c r="F87" s="3" t="s">
        <v>315</v>
      </c>
      <c r="G87" s="6">
        <v>46293</v>
      </c>
      <c r="H87" s="6">
        <v>46299</v>
      </c>
      <c r="I87" s="3" t="s">
        <v>42</v>
      </c>
      <c r="J87" s="3" t="s">
        <v>43</v>
      </c>
      <c r="K87" s="9">
        <v>0</v>
      </c>
      <c r="L87" s="12">
        <v>3</v>
      </c>
      <c r="M87" s="12">
        <v>0</v>
      </c>
      <c r="N87" s="3" t="s">
        <v>277</v>
      </c>
      <c r="O87" s="3" t="s">
        <v>44</v>
      </c>
      <c r="P87" s="15">
        <f t="shared" ca="1" si="2"/>
        <v>47</v>
      </c>
      <c r="Q87" s="3" t="str">
        <f t="shared" ca="1" si="3"/>
        <v>On Track</v>
      </c>
      <c r="R87" s="3"/>
      <c r="S87" s="3"/>
    </row>
    <row r="88" spans="1:19" ht="27" customHeight="1">
      <c r="A88" s="3" t="s">
        <v>316</v>
      </c>
      <c r="B88" s="3" t="s">
        <v>278</v>
      </c>
      <c r="C88" s="3">
        <v>7</v>
      </c>
      <c r="D88" s="3" t="s">
        <v>279</v>
      </c>
      <c r="E88" s="3" t="s">
        <v>317</v>
      </c>
      <c r="F88" s="3" t="s">
        <v>318</v>
      </c>
      <c r="G88" s="6">
        <v>46293</v>
      </c>
      <c r="H88" s="6">
        <v>46299</v>
      </c>
      <c r="I88" s="3" t="s">
        <v>42</v>
      </c>
      <c r="J88" s="3" t="s">
        <v>43</v>
      </c>
      <c r="K88" s="9">
        <v>0</v>
      </c>
      <c r="L88" s="12">
        <v>5</v>
      </c>
      <c r="M88" s="12">
        <v>0</v>
      </c>
      <c r="N88" s="3" t="s">
        <v>313</v>
      </c>
      <c r="O88" s="3" t="s">
        <v>44</v>
      </c>
      <c r="P88" s="15">
        <f t="shared" ca="1" si="2"/>
        <v>47</v>
      </c>
      <c r="Q88" s="3" t="str">
        <f t="shared" ca="1" si="3"/>
        <v>On Track</v>
      </c>
      <c r="R88" s="3"/>
      <c r="S88" s="3"/>
    </row>
    <row r="89" spans="1:19" ht="27" customHeight="1">
      <c r="A89" s="3" t="s">
        <v>319</v>
      </c>
      <c r="B89" s="3" t="s">
        <v>278</v>
      </c>
      <c r="C89" s="3">
        <v>7</v>
      </c>
      <c r="D89" s="3" t="s">
        <v>279</v>
      </c>
      <c r="E89" s="3" t="s">
        <v>320</v>
      </c>
      <c r="F89" s="3" t="s">
        <v>321</v>
      </c>
      <c r="G89" s="6">
        <v>46293</v>
      </c>
      <c r="H89" s="6">
        <v>46299</v>
      </c>
      <c r="I89" s="3" t="s">
        <v>49</v>
      </c>
      <c r="J89" s="3" t="s">
        <v>43</v>
      </c>
      <c r="K89" s="9">
        <v>0</v>
      </c>
      <c r="L89" s="12">
        <v>3</v>
      </c>
      <c r="M89" s="12">
        <v>0</v>
      </c>
      <c r="N89" s="3" t="s">
        <v>313</v>
      </c>
      <c r="O89" s="3" t="s">
        <v>44</v>
      </c>
      <c r="P89" s="15">
        <f t="shared" ca="1" si="2"/>
        <v>47</v>
      </c>
      <c r="Q89" s="3" t="str">
        <f t="shared" ca="1" si="3"/>
        <v>On Track</v>
      </c>
      <c r="R89" s="3"/>
      <c r="S89" s="3"/>
    </row>
    <row r="90" spans="1:19" ht="27" customHeight="1">
      <c r="A90" s="3" t="s">
        <v>322</v>
      </c>
      <c r="B90" s="3" t="s">
        <v>278</v>
      </c>
      <c r="C90" s="3">
        <v>7</v>
      </c>
      <c r="D90" s="3" t="s">
        <v>279</v>
      </c>
      <c r="E90" s="3" t="s">
        <v>323</v>
      </c>
      <c r="F90" s="3" t="s">
        <v>324</v>
      </c>
      <c r="G90" s="6">
        <v>46293</v>
      </c>
      <c r="H90" s="6">
        <v>46299</v>
      </c>
      <c r="I90" s="3" t="s">
        <v>42</v>
      </c>
      <c r="J90" s="3" t="s">
        <v>43</v>
      </c>
      <c r="K90" s="9">
        <v>0</v>
      </c>
      <c r="L90" s="12">
        <v>4</v>
      </c>
      <c r="M90" s="12">
        <v>0</v>
      </c>
      <c r="N90" s="3" t="s">
        <v>254</v>
      </c>
      <c r="O90" s="3" t="s">
        <v>44</v>
      </c>
      <c r="P90" s="15">
        <f t="shared" ca="1" si="2"/>
        <v>47</v>
      </c>
      <c r="Q90" s="3" t="str">
        <f t="shared" ca="1" si="3"/>
        <v>On Track</v>
      </c>
      <c r="R90" s="3"/>
      <c r="S90" s="3"/>
    </row>
    <row r="91" spans="1:19" ht="27" customHeight="1">
      <c r="A91" s="3" t="s">
        <v>325</v>
      </c>
      <c r="B91" s="3" t="s">
        <v>278</v>
      </c>
      <c r="C91" s="3">
        <v>7</v>
      </c>
      <c r="D91" s="3" t="s">
        <v>279</v>
      </c>
      <c r="E91" s="3" t="s">
        <v>326</v>
      </c>
      <c r="F91" s="3" t="s">
        <v>327</v>
      </c>
      <c r="G91" s="6">
        <v>46293</v>
      </c>
      <c r="H91" s="6">
        <v>46299</v>
      </c>
      <c r="I91" s="3" t="s">
        <v>49</v>
      </c>
      <c r="J91" s="3" t="s">
        <v>43</v>
      </c>
      <c r="K91" s="9">
        <v>0</v>
      </c>
      <c r="L91" s="12">
        <v>4</v>
      </c>
      <c r="M91" s="12">
        <v>0</v>
      </c>
      <c r="N91" s="3" t="s">
        <v>251</v>
      </c>
      <c r="O91" s="3" t="s">
        <v>44</v>
      </c>
      <c r="P91" s="15">
        <f t="shared" ca="1" si="2"/>
        <v>47</v>
      </c>
      <c r="Q91" s="3" t="str">
        <f t="shared" ca="1" si="3"/>
        <v>On Track</v>
      </c>
      <c r="R91" s="3"/>
      <c r="S91" s="3"/>
    </row>
    <row r="92" spans="1:19" ht="27" customHeight="1">
      <c r="A92" s="3" t="s">
        <v>328</v>
      </c>
      <c r="B92" s="3" t="s">
        <v>278</v>
      </c>
      <c r="C92" s="3">
        <v>7</v>
      </c>
      <c r="D92" s="3" t="s">
        <v>279</v>
      </c>
      <c r="E92" s="3" t="s">
        <v>329</v>
      </c>
      <c r="F92" s="3" t="s">
        <v>330</v>
      </c>
      <c r="G92" s="6">
        <v>46293</v>
      </c>
      <c r="H92" s="6">
        <v>46299</v>
      </c>
      <c r="I92" s="3" t="s">
        <v>49</v>
      </c>
      <c r="J92" s="3" t="s">
        <v>43</v>
      </c>
      <c r="K92" s="9">
        <v>0</v>
      </c>
      <c r="L92" s="12">
        <v>3</v>
      </c>
      <c r="M92" s="12">
        <v>0</v>
      </c>
      <c r="N92" s="3" t="s">
        <v>254</v>
      </c>
      <c r="O92" s="3" t="s">
        <v>44</v>
      </c>
      <c r="P92" s="15">
        <f t="shared" ca="1" si="2"/>
        <v>47</v>
      </c>
      <c r="Q92" s="3" t="str">
        <f t="shared" ca="1" si="3"/>
        <v>On Track</v>
      </c>
      <c r="R92" s="3"/>
      <c r="S92" s="3"/>
    </row>
    <row r="93" spans="1:19" ht="27" customHeight="1">
      <c r="A93" s="3" t="s">
        <v>331</v>
      </c>
      <c r="B93" s="3" t="s">
        <v>278</v>
      </c>
      <c r="C93" s="3">
        <v>7</v>
      </c>
      <c r="D93" s="3" t="s">
        <v>229</v>
      </c>
      <c r="E93" s="3" t="s">
        <v>332</v>
      </c>
      <c r="F93" s="3" t="s">
        <v>333</v>
      </c>
      <c r="G93" s="6">
        <v>46293</v>
      </c>
      <c r="H93" s="6">
        <v>46299</v>
      </c>
      <c r="I93" s="3" t="s">
        <v>42</v>
      </c>
      <c r="J93" s="3" t="s">
        <v>43</v>
      </c>
      <c r="K93" s="9">
        <v>0</v>
      </c>
      <c r="L93" s="12">
        <v>5</v>
      </c>
      <c r="M93" s="12">
        <v>0</v>
      </c>
      <c r="N93" s="3" t="s">
        <v>260</v>
      </c>
      <c r="O93" s="3" t="s">
        <v>44</v>
      </c>
      <c r="P93" s="15">
        <f t="shared" ca="1" si="2"/>
        <v>47</v>
      </c>
      <c r="Q93" s="3" t="str">
        <f t="shared" ca="1" si="3"/>
        <v>On Track</v>
      </c>
      <c r="R93" s="3"/>
      <c r="S93" s="3"/>
    </row>
    <row r="94" spans="1:19" ht="27" customHeight="1">
      <c r="A94" s="3" t="s">
        <v>334</v>
      </c>
      <c r="B94" s="3" t="s">
        <v>278</v>
      </c>
      <c r="C94" s="3">
        <v>7</v>
      </c>
      <c r="D94" s="3" t="s">
        <v>268</v>
      </c>
      <c r="E94" s="3" t="s">
        <v>335</v>
      </c>
      <c r="F94" s="3" t="s">
        <v>336</v>
      </c>
      <c r="G94" s="6">
        <v>46293</v>
      </c>
      <c r="H94" s="6">
        <v>46299</v>
      </c>
      <c r="I94" s="3" t="s">
        <v>42</v>
      </c>
      <c r="J94" s="3" t="s">
        <v>43</v>
      </c>
      <c r="K94" s="9">
        <v>0</v>
      </c>
      <c r="L94" s="12">
        <v>2</v>
      </c>
      <c r="M94" s="12">
        <v>0</v>
      </c>
      <c r="N94" s="3" t="s">
        <v>271</v>
      </c>
      <c r="O94" s="3" t="s">
        <v>44</v>
      </c>
      <c r="P94" s="15">
        <f t="shared" ca="1" si="2"/>
        <v>47</v>
      </c>
      <c r="Q94" s="3" t="str">
        <f t="shared" ca="1" si="3"/>
        <v>On Track</v>
      </c>
      <c r="R94" s="3"/>
      <c r="S94" s="3"/>
    </row>
    <row r="95" spans="1:19" ht="27" customHeight="1">
      <c r="A95" s="3" t="s">
        <v>337</v>
      </c>
      <c r="B95" s="3" t="s">
        <v>278</v>
      </c>
      <c r="C95" s="3">
        <v>7</v>
      </c>
      <c r="D95" s="3" t="s">
        <v>192</v>
      </c>
      <c r="E95" s="3" t="s">
        <v>338</v>
      </c>
      <c r="F95" s="3" t="s">
        <v>339</v>
      </c>
      <c r="G95" s="6">
        <v>46293</v>
      </c>
      <c r="H95" s="6">
        <v>46299</v>
      </c>
      <c r="I95" s="3" t="s">
        <v>42</v>
      </c>
      <c r="J95" s="3" t="s">
        <v>43</v>
      </c>
      <c r="K95" s="9">
        <v>0</v>
      </c>
      <c r="L95" s="12">
        <v>4</v>
      </c>
      <c r="M95" s="12">
        <v>0</v>
      </c>
      <c r="N95" s="3" t="s">
        <v>267</v>
      </c>
      <c r="O95" s="3" t="s">
        <v>44</v>
      </c>
      <c r="P95" s="15">
        <f t="shared" ca="1" si="2"/>
        <v>47</v>
      </c>
      <c r="Q95" s="3" t="str">
        <f t="shared" ca="1" si="3"/>
        <v>On Track</v>
      </c>
      <c r="R95" s="3"/>
      <c r="S95" s="3"/>
    </row>
    <row r="96" spans="1:19" ht="27" customHeight="1">
      <c r="A96" s="3" t="s">
        <v>340</v>
      </c>
      <c r="B96" s="3" t="s">
        <v>278</v>
      </c>
      <c r="C96" s="3">
        <v>7</v>
      </c>
      <c r="D96" s="3" t="s">
        <v>192</v>
      </c>
      <c r="E96" s="3" t="s">
        <v>341</v>
      </c>
      <c r="F96" s="3" t="s">
        <v>342</v>
      </c>
      <c r="G96" s="6">
        <v>46293</v>
      </c>
      <c r="H96" s="6">
        <v>46299</v>
      </c>
      <c r="I96" s="3" t="s">
        <v>49</v>
      </c>
      <c r="J96" s="3" t="s">
        <v>43</v>
      </c>
      <c r="K96" s="9">
        <v>0</v>
      </c>
      <c r="L96" s="12">
        <v>3</v>
      </c>
      <c r="M96" s="12">
        <v>0</v>
      </c>
      <c r="N96" s="3" t="s">
        <v>271</v>
      </c>
      <c r="O96" s="3" t="s">
        <v>44</v>
      </c>
      <c r="P96" s="15">
        <f t="shared" ca="1" si="2"/>
        <v>47</v>
      </c>
      <c r="Q96" s="3" t="str">
        <f t="shared" ca="1" si="3"/>
        <v>On Track</v>
      </c>
      <c r="R96" s="3"/>
      <c r="S96" s="3"/>
    </row>
    <row r="97" spans="1:19" ht="27" customHeight="1">
      <c r="A97" s="3" t="s">
        <v>343</v>
      </c>
      <c r="B97" s="3" t="s">
        <v>278</v>
      </c>
      <c r="C97" s="3">
        <v>7</v>
      </c>
      <c r="D97" s="3" t="s">
        <v>142</v>
      </c>
      <c r="E97" s="3" t="s">
        <v>344</v>
      </c>
      <c r="F97" s="3" t="s">
        <v>345</v>
      </c>
      <c r="G97" s="6">
        <v>46293</v>
      </c>
      <c r="H97" s="6">
        <v>46299</v>
      </c>
      <c r="I97" s="3" t="s">
        <v>42</v>
      </c>
      <c r="J97" s="3" t="s">
        <v>43</v>
      </c>
      <c r="K97" s="9">
        <v>0</v>
      </c>
      <c r="L97" s="12">
        <v>3</v>
      </c>
      <c r="M97" s="12">
        <v>0</v>
      </c>
      <c r="N97" s="3" t="s">
        <v>316</v>
      </c>
      <c r="O97" s="3" t="s">
        <v>44</v>
      </c>
      <c r="P97" s="15">
        <f t="shared" ca="1" si="2"/>
        <v>47</v>
      </c>
      <c r="Q97" s="3" t="str">
        <f t="shared" ca="1" si="3"/>
        <v>On Track</v>
      </c>
      <c r="R97" s="3"/>
      <c r="S97" s="3"/>
    </row>
    <row r="98" spans="1:19" ht="27" customHeight="1">
      <c r="A98" s="3" t="s">
        <v>346</v>
      </c>
      <c r="B98" s="3" t="s">
        <v>347</v>
      </c>
      <c r="C98" s="3">
        <v>8</v>
      </c>
      <c r="D98" s="3" t="s">
        <v>348</v>
      </c>
      <c r="E98" s="3" t="s">
        <v>349</v>
      </c>
      <c r="F98" s="3" t="s">
        <v>350</v>
      </c>
      <c r="G98" s="6">
        <v>46300</v>
      </c>
      <c r="H98" s="6">
        <v>46306</v>
      </c>
      <c r="I98" s="3" t="s">
        <v>42</v>
      </c>
      <c r="J98" s="3" t="s">
        <v>43</v>
      </c>
      <c r="K98" s="9">
        <v>0</v>
      </c>
      <c r="L98" s="12">
        <v>5</v>
      </c>
      <c r="M98" s="12">
        <v>0</v>
      </c>
      <c r="N98" s="3" t="s">
        <v>228</v>
      </c>
      <c r="O98" s="3" t="s">
        <v>44</v>
      </c>
      <c r="P98" s="15">
        <f t="shared" ca="1" si="2"/>
        <v>54</v>
      </c>
      <c r="Q98" s="3" t="str">
        <f t="shared" ca="1" si="3"/>
        <v>On Track</v>
      </c>
      <c r="R98" s="3"/>
      <c r="S98" s="3"/>
    </row>
    <row r="99" spans="1:19" ht="27" customHeight="1">
      <c r="A99" s="3" t="s">
        <v>351</v>
      </c>
      <c r="B99" s="3" t="s">
        <v>347</v>
      </c>
      <c r="C99" s="3">
        <v>8</v>
      </c>
      <c r="D99" s="3" t="s">
        <v>348</v>
      </c>
      <c r="E99" s="3" t="s">
        <v>352</v>
      </c>
      <c r="F99" s="3" t="s">
        <v>353</v>
      </c>
      <c r="G99" s="6">
        <v>46300</v>
      </c>
      <c r="H99" s="6">
        <v>46306</v>
      </c>
      <c r="I99" s="3" t="s">
        <v>42</v>
      </c>
      <c r="J99" s="3" t="s">
        <v>43</v>
      </c>
      <c r="K99" s="9">
        <v>0</v>
      </c>
      <c r="L99" s="12">
        <v>3</v>
      </c>
      <c r="M99" s="12">
        <v>0</v>
      </c>
      <c r="N99" s="3" t="s">
        <v>346</v>
      </c>
      <c r="O99" s="3" t="s">
        <v>44</v>
      </c>
      <c r="P99" s="15">
        <f t="shared" ca="1" si="2"/>
        <v>54</v>
      </c>
      <c r="Q99" s="3" t="str">
        <f t="shared" ca="1" si="3"/>
        <v>On Track</v>
      </c>
      <c r="R99" s="3"/>
      <c r="S99" s="3"/>
    </row>
    <row r="100" spans="1:19" ht="27" customHeight="1">
      <c r="A100" s="3" t="s">
        <v>354</v>
      </c>
      <c r="B100" s="3" t="s">
        <v>347</v>
      </c>
      <c r="C100" s="3">
        <v>8</v>
      </c>
      <c r="D100" s="3" t="s">
        <v>348</v>
      </c>
      <c r="E100" s="3" t="s">
        <v>355</v>
      </c>
      <c r="F100" s="3" t="s">
        <v>356</v>
      </c>
      <c r="G100" s="6">
        <v>46300</v>
      </c>
      <c r="H100" s="6">
        <v>46306</v>
      </c>
      <c r="I100" s="3" t="s">
        <v>42</v>
      </c>
      <c r="J100" s="3" t="s">
        <v>43</v>
      </c>
      <c r="K100" s="9">
        <v>0</v>
      </c>
      <c r="L100" s="12">
        <v>4</v>
      </c>
      <c r="M100" s="12">
        <v>0</v>
      </c>
      <c r="N100" s="3" t="s">
        <v>346</v>
      </c>
      <c r="O100" s="3" t="s">
        <v>44</v>
      </c>
      <c r="P100" s="15">
        <f t="shared" ca="1" si="2"/>
        <v>54</v>
      </c>
      <c r="Q100" s="3" t="str">
        <f t="shared" ca="1" si="3"/>
        <v>On Track</v>
      </c>
      <c r="R100" s="3"/>
      <c r="S100" s="3"/>
    </row>
    <row r="101" spans="1:19" ht="27" customHeight="1">
      <c r="A101" s="3" t="s">
        <v>357</v>
      </c>
      <c r="B101" s="3" t="s">
        <v>347</v>
      </c>
      <c r="C101" s="3">
        <v>8</v>
      </c>
      <c r="D101" s="3" t="s">
        <v>87</v>
      </c>
      <c r="E101" s="3" t="s">
        <v>358</v>
      </c>
      <c r="F101" s="3" t="s">
        <v>359</v>
      </c>
      <c r="G101" s="6">
        <v>46300</v>
      </c>
      <c r="H101" s="6">
        <v>46306</v>
      </c>
      <c r="I101" s="3" t="s">
        <v>42</v>
      </c>
      <c r="J101" s="3" t="s">
        <v>43</v>
      </c>
      <c r="K101" s="9">
        <v>0</v>
      </c>
      <c r="L101" s="12">
        <v>4</v>
      </c>
      <c r="M101" s="12">
        <v>0</v>
      </c>
      <c r="N101" s="3" t="s">
        <v>351</v>
      </c>
      <c r="O101" s="3" t="s">
        <v>44</v>
      </c>
      <c r="P101" s="15">
        <f t="shared" ca="1" si="2"/>
        <v>54</v>
      </c>
      <c r="Q101" s="3" t="str">
        <f t="shared" ca="1" si="3"/>
        <v>On Track</v>
      </c>
      <c r="R101" s="3"/>
      <c r="S101" s="3"/>
    </row>
    <row r="102" spans="1:19" ht="27" customHeight="1">
      <c r="A102" s="3" t="s">
        <v>360</v>
      </c>
      <c r="B102" s="3" t="s">
        <v>347</v>
      </c>
      <c r="C102" s="3">
        <v>8</v>
      </c>
      <c r="D102" s="3" t="s">
        <v>361</v>
      </c>
      <c r="E102" s="3" t="s">
        <v>362</v>
      </c>
      <c r="F102" s="3" t="s">
        <v>363</v>
      </c>
      <c r="G102" s="6">
        <v>46300</v>
      </c>
      <c r="H102" s="6">
        <v>46306</v>
      </c>
      <c r="I102" s="3" t="s">
        <v>49</v>
      </c>
      <c r="J102" s="3" t="s">
        <v>43</v>
      </c>
      <c r="K102" s="9">
        <v>0</v>
      </c>
      <c r="L102" s="12">
        <v>4</v>
      </c>
      <c r="M102" s="12">
        <v>0</v>
      </c>
      <c r="N102" s="3" t="s">
        <v>346</v>
      </c>
      <c r="O102" s="3" t="s">
        <v>44</v>
      </c>
      <c r="P102" s="15">
        <f t="shared" ca="1" si="2"/>
        <v>54</v>
      </c>
      <c r="Q102" s="3" t="str">
        <f t="shared" ca="1" si="3"/>
        <v>On Track</v>
      </c>
      <c r="R102" s="3"/>
      <c r="S102" s="3"/>
    </row>
    <row r="103" spans="1:19" ht="27" customHeight="1">
      <c r="A103" s="3" t="s">
        <v>364</v>
      </c>
      <c r="B103" s="3" t="s">
        <v>347</v>
      </c>
      <c r="C103" s="3">
        <v>8</v>
      </c>
      <c r="D103" s="3" t="s">
        <v>365</v>
      </c>
      <c r="E103" s="3" t="s">
        <v>366</v>
      </c>
      <c r="F103" s="3" t="s">
        <v>367</v>
      </c>
      <c r="G103" s="6">
        <v>46300</v>
      </c>
      <c r="H103" s="6">
        <v>46306</v>
      </c>
      <c r="I103" s="3" t="s">
        <v>42</v>
      </c>
      <c r="J103" s="3" t="s">
        <v>43</v>
      </c>
      <c r="K103" s="9">
        <v>0</v>
      </c>
      <c r="L103" s="12">
        <v>3</v>
      </c>
      <c r="M103" s="12">
        <v>0</v>
      </c>
      <c r="N103" s="3" t="s">
        <v>346</v>
      </c>
      <c r="O103" s="3" t="s">
        <v>44</v>
      </c>
      <c r="P103" s="15">
        <f t="shared" ca="1" si="2"/>
        <v>54</v>
      </c>
      <c r="Q103" s="3" t="str">
        <f t="shared" ca="1" si="3"/>
        <v>On Track</v>
      </c>
      <c r="R103" s="3"/>
      <c r="S103" s="3"/>
    </row>
    <row r="104" spans="1:19" ht="27" customHeight="1">
      <c r="A104" s="3" t="s">
        <v>368</v>
      </c>
      <c r="B104" s="3" t="s">
        <v>347</v>
      </c>
      <c r="C104" s="3">
        <v>8</v>
      </c>
      <c r="D104" s="3" t="s">
        <v>365</v>
      </c>
      <c r="E104" s="3" t="s">
        <v>369</v>
      </c>
      <c r="F104" s="3" t="s">
        <v>370</v>
      </c>
      <c r="G104" s="6">
        <v>46300</v>
      </c>
      <c r="H104" s="6">
        <v>46306</v>
      </c>
      <c r="I104" s="3" t="s">
        <v>49</v>
      </c>
      <c r="J104" s="3" t="s">
        <v>43</v>
      </c>
      <c r="K104" s="9">
        <v>0</v>
      </c>
      <c r="L104" s="12">
        <v>4</v>
      </c>
      <c r="M104" s="12">
        <v>0</v>
      </c>
      <c r="N104" s="3" t="s">
        <v>364</v>
      </c>
      <c r="O104" s="3" t="s">
        <v>44</v>
      </c>
      <c r="P104" s="15">
        <f t="shared" ca="1" si="2"/>
        <v>54</v>
      </c>
      <c r="Q104" s="3" t="str">
        <f t="shared" ca="1" si="3"/>
        <v>On Track</v>
      </c>
      <c r="R104" s="3"/>
      <c r="S104" s="3"/>
    </row>
    <row r="105" spans="1:19" ht="27" customHeight="1">
      <c r="A105" s="3" t="s">
        <v>371</v>
      </c>
      <c r="B105" s="3" t="s">
        <v>347</v>
      </c>
      <c r="C105" s="3">
        <v>8</v>
      </c>
      <c r="D105" s="3" t="s">
        <v>365</v>
      </c>
      <c r="E105" s="3" t="s">
        <v>372</v>
      </c>
      <c r="F105" s="3" t="s">
        <v>373</v>
      </c>
      <c r="G105" s="6">
        <v>46300</v>
      </c>
      <c r="H105" s="6">
        <v>46306</v>
      </c>
      <c r="I105" s="3" t="s">
        <v>82</v>
      </c>
      <c r="J105" s="3" t="s">
        <v>43</v>
      </c>
      <c r="K105" s="9">
        <v>0</v>
      </c>
      <c r="L105" s="12">
        <v>2.5</v>
      </c>
      <c r="M105" s="12">
        <v>0</v>
      </c>
      <c r="N105" s="3" t="s">
        <v>346</v>
      </c>
      <c r="O105" s="3" t="s">
        <v>44</v>
      </c>
      <c r="P105" s="15">
        <f t="shared" ca="1" si="2"/>
        <v>54</v>
      </c>
      <c r="Q105" s="3" t="str">
        <f t="shared" ca="1" si="3"/>
        <v>On Track</v>
      </c>
      <c r="R105" s="3"/>
      <c r="S105" s="3"/>
    </row>
    <row r="106" spans="1:19" ht="27" customHeight="1">
      <c r="A106" s="3" t="s">
        <v>374</v>
      </c>
      <c r="B106" s="3" t="s">
        <v>347</v>
      </c>
      <c r="C106" s="3">
        <v>8</v>
      </c>
      <c r="D106" s="3" t="s">
        <v>365</v>
      </c>
      <c r="E106" s="3" t="s">
        <v>375</v>
      </c>
      <c r="F106" s="3" t="s">
        <v>376</v>
      </c>
      <c r="G106" s="6">
        <v>46300</v>
      </c>
      <c r="H106" s="6">
        <v>46306</v>
      </c>
      <c r="I106" s="3" t="s">
        <v>42</v>
      </c>
      <c r="J106" s="3" t="s">
        <v>43</v>
      </c>
      <c r="K106" s="9">
        <v>0</v>
      </c>
      <c r="L106" s="12">
        <v>4</v>
      </c>
      <c r="M106" s="12">
        <v>0</v>
      </c>
      <c r="N106" s="3" t="s">
        <v>364</v>
      </c>
      <c r="O106" s="3" t="s">
        <v>44</v>
      </c>
      <c r="P106" s="15">
        <f t="shared" ca="1" si="2"/>
        <v>54</v>
      </c>
      <c r="Q106" s="3" t="str">
        <f t="shared" ca="1" si="3"/>
        <v>On Track</v>
      </c>
      <c r="R106" s="3"/>
      <c r="S106" s="3"/>
    </row>
    <row r="107" spans="1:19" ht="27" customHeight="1">
      <c r="A107" s="3" t="s">
        <v>377</v>
      </c>
      <c r="B107" s="3" t="s">
        <v>347</v>
      </c>
      <c r="C107" s="3">
        <v>8</v>
      </c>
      <c r="D107" s="3" t="s">
        <v>378</v>
      </c>
      <c r="E107" s="3" t="s">
        <v>379</v>
      </c>
      <c r="F107" s="3" t="s">
        <v>380</v>
      </c>
      <c r="G107" s="6">
        <v>46300</v>
      </c>
      <c r="H107" s="6">
        <v>46306</v>
      </c>
      <c r="I107" s="3" t="s">
        <v>42</v>
      </c>
      <c r="J107" s="3" t="s">
        <v>43</v>
      </c>
      <c r="K107" s="9">
        <v>0</v>
      </c>
      <c r="L107" s="12">
        <v>4</v>
      </c>
      <c r="M107" s="12">
        <v>0</v>
      </c>
      <c r="N107" s="3" t="s">
        <v>364</v>
      </c>
      <c r="O107" s="3" t="s">
        <v>44</v>
      </c>
      <c r="P107" s="15">
        <f t="shared" ca="1" si="2"/>
        <v>54</v>
      </c>
      <c r="Q107" s="3" t="str">
        <f t="shared" ca="1" si="3"/>
        <v>On Track</v>
      </c>
      <c r="R107" s="3"/>
      <c r="S107" s="3"/>
    </row>
    <row r="108" spans="1:19" ht="27" customHeight="1">
      <c r="A108" s="3" t="s">
        <v>381</v>
      </c>
      <c r="B108" s="3" t="s">
        <v>347</v>
      </c>
      <c r="C108" s="3">
        <v>8</v>
      </c>
      <c r="D108" s="3" t="s">
        <v>87</v>
      </c>
      <c r="E108" s="3" t="s">
        <v>382</v>
      </c>
      <c r="F108" s="3" t="s">
        <v>383</v>
      </c>
      <c r="G108" s="6">
        <v>46300</v>
      </c>
      <c r="H108" s="6">
        <v>46306</v>
      </c>
      <c r="I108" s="3" t="s">
        <v>42</v>
      </c>
      <c r="J108" s="3" t="s">
        <v>43</v>
      </c>
      <c r="K108" s="9">
        <v>0</v>
      </c>
      <c r="L108" s="12">
        <v>3</v>
      </c>
      <c r="M108" s="12">
        <v>0</v>
      </c>
      <c r="N108" s="3" t="s">
        <v>351</v>
      </c>
      <c r="O108" s="3" t="s">
        <v>44</v>
      </c>
      <c r="P108" s="15">
        <f t="shared" ca="1" si="2"/>
        <v>54</v>
      </c>
      <c r="Q108" s="3" t="str">
        <f t="shared" ca="1" si="3"/>
        <v>On Track</v>
      </c>
      <c r="R108" s="3"/>
      <c r="S108" s="3"/>
    </row>
    <row r="109" spans="1:19" ht="27" customHeight="1">
      <c r="A109" s="3" t="s">
        <v>384</v>
      </c>
      <c r="B109" s="3" t="s">
        <v>347</v>
      </c>
      <c r="C109" s="3">
        <v>8</v>
      </c>
      <c r="D109" s="3" t="s">
        <v>192</v>
      </c>
      <c r="E109" s="3" t="s">
        <v>385</v>
      </c>
      <c r="F109" s="3" t="s">
        <v>386</v>
      </c>
      <c r="G109" s="6">
        <v>46300</v>
      </c>
      <c r="H109" s="6">
        <v>46306</v>
      </c>
      <c r="I109" s="3" t="s">
        <v>42</v>
      </c>
      <c r="J109" s="3" t="s">
        <v>43</v>
      </c>
      <c r="K109" s="9">
        <v>0</v>
      </c>
      <c r="L109" s="12">
        <v>5</v>
      </c>
      <c r="M109" s="12">
        <v>0</v>
      </c>
      <c r="N109" s="3" t="s">
        <v>357</v>
      </c>
      <c r="O109" s="3" t="s">
        <v>44</v>
      </c>
      <c r="P109" s="15">
        <f t="shared" ca="1" si="2"/>
        <v>54</v>
      </c>
      <c r="Q109" s="3" t="str">
        <f t="shared" ca="1" si="3"/>
        <v>On Track</v>
      </c>
      <c r="R109" s="3"/>
      <c r="S109" s="3"/>
    </row>
    <row r="110" spans="1:19" ht="27" customHeight="1">
      <c r="A110" s="3" t="s">
        <v>387</v>
      </c>
      <c r="B110" s="3" t="s">
        <v>347</v>
      </c>
      <c r="C110" s="3">
        <v>9</v>
      </c>
      <c r="D110" s="3" t="s">
        <v>388</v>
      </c>
      <c r="E110" s="3" t="s">
        <v>389</v>
      </c>
      <c r="F110" s="3" t="s">
        <v>390</v>
      </c>
      <c r="G110" s="6">
        <v>46307</v>
      </c>
      <c r="H110" s="6">
        <v>46313</v>
      </c>
      <c r="I110" s="3" t="s">
        <v>42</v>
      </c>
      <c r="J110" s="3" t="s">
        <v>43</v>
      </c>
      <c r="K110" s="9">
        <v>0</v>
      </c>
      <c r="L110" s="12">
        <v>4</v>
      </c>
      <c r="M110" s="12">
        <v>0</v>
      </c>
      <c r="N110" s="3" t="s">
        <v>145</v>
      </c>
      <c r="O110" s="3" t="s">
        <v>44</v>
      </c>
      <c r="P110" s="15">
        <f t="shared" ca="1" si="2"/>
        <v>61</v>
      </c>
      <c r="Q110" s="3" t="str">
        <f t="shared" ca="1" si="3"/>
        <v>On Track</v>
      </c>
      <c r="R110" s="3"/>
      <c r="S110" s="3"/>
    </row>
    <row r="111" spans="1:19" ht="27" customHeight="1">
      <c r="A111" s="3" t="s">
        <v>391</v>
      </c>
      <c r="B111" s="3" t="s">
        <v>347</v>
      </c>
      <c r="C111" s="3">
        <v>9</v>
      </c>
      <c r="D111" s="3" t="s">
        <v>388</v>
      </c>
      <c r="E111" s="3" t="s">
        <v>392</v>
      </c>
      <c r="F111" s="3" t="s">
        <v>393</v>
      </c>
      <c r="G111" s="6">
        <v>46307</v>
      </c>
      <c r="H111" s="6">
        <v>46313</v>
      </c>
      <c r="I111" s="3" t="s">
        <v>42</v>
      </c>
      <c r="J111" s="3" t="s">
        <v>43</v>
      </c>
      <c r="K111" s="9">
        <v>0</v>
      </c>
      <c r="L111" s="12">
        <v>5</v>
      </c>
      <c r="M111" s="12">
        <v>0</v>
      </c>
      <c r="N111" s="3" t="s">
        <v>387</v>
      </c>
      <c r="O111" s="3" t="s">
        <v>44</v>
      </c>
      <c r="P111" s="15">
        <f t="shared" ca="1" si="2"/>
        <v>61</v>
      </c>
      <c r="Q111" s="3" t="str">
        <f t="shared" ca="1" si="3"/>
        <v>On Track</v>
      </c>
      <c r="R111" s="3"/>
      <c r="S111" s="3"/>
    </row>
    <row r="112" spans="1:19" ht="27" customHeight="1">
      <c r="A112" s="3" t="s">
        <v>394</v>
      </c>
      <c r="B112" s="3" t="s">
        <v>347</v>
      </c>
      <c r="C112" s="3">
        <v>9</v>
      </c>
      <c r="D112" s="3" t="s">
        <v>388</v>
      </c>
      <c r="E112" s="3" t="s">
        <v>395</v>
      </c>
      <c r="F112" s="3" t="s">
        <v>396</v>
      </c>
      <c r="G112" s="6">
        <v>46307</v>
      </c>
      <c r="H112" s="6">
        <v>46313</v>
      </c>
      <c r="I112" s="3" t="s">
        <v>49</v>
      </c>
      <c r="J112" s="3" t="s">
        <v>43</v>
      </c>
      <c r="K112" s="9">
        <v>0</v>
      </c>
      <c r="L112" s="12">
        <v>4</v>
      </c>
      <c r="M112" s="12">
        <v>0</v>
      </c>
      <c r="N112" s="3" t="s">
        <v>387</v>
      </c>
      <c r="O112" s="3" t="s">
        <v>44</v>
      </c>
      <c r="P112" s="15">
        <f t="shared" ca="1" si="2"/>
        <v>61</v>
      </c>
      <c r="Q112" s="3" t="str">
        <f t="shared" ca="1" si="3"/>
        <v>On Track</v>
      </c>
      <c r="R112" s="3"/>
      <c r="S112" s="3"/>
    </row>
    <row r="113" spans="1:19" ht="27" customHeight="1">
      <c r="A113" s="3" t="s">
        <v>397</v>
      </c>
      <c r="B113" s="3" t="s">
        <v>347</v>
      </c>
      <c r="C113" s="3">
        <v>9</v>
      </c>
      <c r="D113" s="3" t="s">
        <v>388</v>
      </c>
      <c r="E113" s="3" t="s">
        <v>398</v>
      </c>
      <c r="F113" s="3" t="s">
        <v>399</v>
      </c>
      <c r="G113" s="6">
        <v>46307</v>
      </c>
      <c r="H113" s="6">
        <v>46313</v>
      </c>
      <c r="I113" s="3" t="s">
        <v>82</v>
      </c>
      <c r="J113" s="3" t="s">
        <v>43</v>
      </c>
      <c r="K113" s="9">
        <v>0</v>
      </c>
      <c r="L113" s="12">
        <v>3</v>
      </c>
      <c r="M113" s="12">
        <v>0</v>
      </c>
      <c r="N113" s="3" t="s">
        <v>387</v>
      </c>
      <c r="O113" s="3" t="s">
        <v>44</v>
      </c>
      <c r="P113" s="15">
        <f t="shared" ca="1" si="2"/>
        <v>61</v>
      </c>
      <c r="Q113" s="3" t="str">
        <f t="shared" ca="1" si="3"/>
        <v>On Track</v>
      </c>
      <c r="R113" s="3"/>
      <c r="S113" s="3"/>
    </row>
    <row r="114" spans="1:19" ht="27" customHeight="1">
      <c r="A114" s="3" t="s">
        <v>400</v>
      </c>
      <c r="B114" s="3" t="s">
        <v>347</v>
      </c>
      <c r="C114" s="3">
        <v>9</v>
      </c>
      <c r="D114" s="3" t="s">
        <v>388</v>
      </c>
      <c r="E114" s="3" t="s">
        <v>401</v>
      </c>
      <c r="F114" s="3" t="s">
        <v>402</v>
      </c>
      <c r="G114" s="6">
        <v>46307</v>
      </c>
      <c r="H114" s="6">
        <v>46313</v>
      </c>
      <c r="I114" s="3" t="s">
        <v>49</v>
      </c>
      <c r="J114" s="3" t="s">
        <v>43</v>
      </c>
      <c r="K114" s="9">
        <v>0</v>
      </c>
      <c r="L114" s="12">
        <v>3</v>
      </c>
      <c r="M114" s="12">
        <v>0</v>
      </c>
      <c r="N114" s="3" t="s">
        <v>360</v>
      </c>
      <c r="O114" s="3" t="s">
        <v>44</v>
      </c>
      <c r="P114" s="15">
        <f t="shared" ca="1" si="2"/>
        <v>61</v>
      </c>
      <c r="Q114" s="3" t="str">
        <f t="shared" ca="1" si="3"/>
        <v>On Track</v>
      </c>
      <c r="R114" s="3"/>
      <c r="S114" s="3"/>
    </row>
    <row r="115" spans="1:19" ht="27" customHeight="1">
      <c r="A115" s="3" t="s">
        <v>403</v>
      </c>
      <c r="B115" s="3" t="s">
        <v>347</v>
      </c>
      <c r="C115" s="3">
        <v>9</v>
      </c>
      <c r="D115" s="3" t="s">
        <v>404</v>
      </c>
      <c r="E115" s="3" t="s">
        <v>405</v>
      </c>
      <c r="F115" s="3" t="s">
        <v>406</v>
      </c>
      <c r="G115" s="6">
        <v>46307</v>
      </c>
      <c r="H115" s="6">
        <v>46313</v>
      </c>
      <c r="I115" s="3" t="s">
        <v>42</v>
      </c>
      <c r="J115" s="3" t="s">
        <v>43</v>
      </c>
      <c r="K115" s="9">
        <v>0</v>
      </c>
      <c r="L115" s="12">
        <v>5</v>
      </c>
      <c r="M115" s="12">
        <v>0</v>
      </c>
      <c r="N115" s="3" t="s">
        <v>387</v>
      </c>
      <c r="O115" s="3" t="s">
        <v>44</v>
      </c>
      <c r="P115" s="15">
        <f t="shared" ca="1" si="2"/>
        <v>61</v>
      </c>
      <c r="Q115" s="3" t="str">
        <f t="shared" ca="1" si="3"/>
        <v>On Track</v>
      </c>
      <c r="R115" s="3"/>
      <c r="S115" s="3"/>
    </row>
    <row r="116" spans="1:19" ht="27" customHeight="1">
      <c r="A116" s="3" t="s">
        <v>407</v>
      </c>
      <c r="B116" s="3" t="s">
        <v>347</v>
      </c>
      <c r="C116" s="3">
        <v>9</v>
      </c>
      <c r="D116" s="3" t="s">
        <v>404</v>
      </c>
      <c r="E116" s="3" t="s">
        <v>408</v>
      </c>
      <c r="F116" s="3" t="s">
        <v>409</v>
      </c>
      <c r="G116" s="6">
        <v>46307</v>
      </c>
      <c r="H116" s="6">
        <v>46313</v>
      </c>
      <c r="I116" s="3" t="s">
        <v>42</v>
      </c>
      <c r="J116" s="3" t="s">
        <v>43</v>
      </c>
      <c r="K116" s="9">
        <v>0</v>
      </c>
      <c r="L116" s="12">
        <v>4</v>
      </c>
      <c r="M116" s="12">
        <v>0</v>
      </c>
      <c r="N116" s="3" t="s">
        <v>374</v>
      </c>
      <c r="O116" s="3" t="s">
        <v>44</v>
      </c>
      <c r="P116" s="15">
        <f t="shared" ca="1" si="2"/>
        <v>61</v>
      </c>
      <c r="Q116" s="3" t="str">
        <f t="shared" ca="1" si="3"/>
        <v>On Track</v>
      </c>
      <c r="R116" s="3"/>
      <c r="S116" s="3"/>
    </row>
    <row r="117" spans="1:19" ht="27" customHeight="1">
      <c r="A117" s="3" t="s">
        <v>410</v>
      </c>
      <c r="B117" s="3" t="s">
        <v>347</v>
      </c>
      <c r="C117" s="3">
        <v>9</v>
      </c>
      <c r="D117" s="3" t="s">
        <v>279</v>
      </c>
      <c r="E117" s="3" t="s">
        <v>411</v>
      </c>
      <c r="F117" s="3" t="s">
        <v>412</v>
      </c>
      <c r="G117" s="6">
        <v>46307</v>
      </c>
      <c r="H117" s="6">
        <v>46313</v>
      </c>
      <c r="I117" s="3" t="s">
        <v>42</v>
      </c>
      <c r="J117" s="3" t="s">
        <v>43</v>
      </c>
      <c r="K117" s="9">
        <v>0</v>
      </c>
      <c r="L117" s="12">
        <v>4</v>
      </c>
      <c r="M117" s="12">
        <v>0</v>
      </c>
      <c r="N117" s="3" t="s">
        <v>391</v>
      </c>
      <c r="O117" s="3" t="s">
        <v>44</v>
      </c>
      <c r="P117" s="15">
        <f t="shared" ca="1" si="2"/>
        <v>61</v>
      </c>
      <c r="Q117" s="3" t="str">
        <f t="shared" ca="1" si="3"/>
        <v>On Track</v>
      </c>
      <c r="R117" s="3"/>
      <c r="S117" s="3"/>
    </row>
    <row r="118" spans="1:19" ht="27" customHeight="1">
      <c r="A118" s="3" t="s">
        <v>413</v>
      </c>
      <c r="B118" s="3" t="s">
        <v>347</v>
      </c>
      <c r="C118" s="3">
        <v>9</v>
      </c>
      <c r="D118" s="3" t="s">
        <v>157</v>
      </c>
      <c r="E118" s="3" t="s">
        <v>414</v>
      </c>
      <c r="F118" s="3" t="s">
        <v>415</v>
      </c>
      <c r="G118" s="6">
        <v>46307</v>
      </c>
      <c r="H118" s="6">
        <v>46313</v>
      </c>
      <c r="I118" s="3" t="s">
        <v>42</v>
      </c>
      <c r="J118" s="3" t="s">
        <v>43</v>
      </c>
      <c r="K118" s="9">
        <v>0</v>
      </c>
      <c r="L118" s="12">
        <v>4</v>
      </c>
      <c r="M118" s="12">
        <v>0</v>
      </c>
      <c r="N118" s="3" t="s">
        <v>156</v>
      </c>
      <c r="O118" s="3" t="s">
        <v>44</v>
      </c>
      <c r="P118" s="15">
        <f t="shared" ca="1" si="2"/>
        <v>61</v>
      </c>
      <c r="Q118" s="3" t="str">
        <f t="shared" ca="1" si="3"/>
        <v>On Track</v>
      </c>
      <c r="R118" s="3"/>
      <c r="S118" s="3"/>
    </row>
    <row r="119" spans="1:19" ht="27" customHeight="1">
      <c r="A119" s="3" t="s">
        <v>416</v>
      </c>
      <c r="B119" s="3" t="s">
        <v>347</v>
      </c>
      <c r="C119" s="3">
        <v>9</v>
      </c>
      <c r="D119" s="3" t="s">
        <v>157</v>
      </c>
      <c r="E119" s="3" t="s">
        <v>417</v>
      </c>
      <c r="F119" s="3" t="s">
        <v>418</v>
      </c>
      <c r="G119" s="6">
        <v>46307</v>
      </c>
      <c r="H119" s="6">
        <v>46313</v>
      </c>
      <c r="I119" s="3" t="s">
        <v>49</v>
      </c>
      <c r="J119" s="3" t="s">
        <v>43</v>
      </c>
      <c r="K119" s="9">
        <v>0</v>
      </c>
      <c r="L119" s="12">
        <v>4</v>
      </c>
      <c r="M119" s="12">
        <v>0</v>
      </c>
      <c r="N119" s="3" t="s">
        <v>413</v>
      </c>
      <c r="O119" s="3" t="s">
        <v>44</v>
      </c>
      <c r="P119" s="15">
        <f t="shared" ca="1" si="2"/>
        <v>61</v>
      </c>
      <c r="Q119" s="3" t="str">
        <f t="shared" ca="1" si="3"/>
        <v>On Track</v>
      </c>
      <c r="R119" s="3"/>
      <c r="S119" s="3"/>
    </row>
    <row r="120" spans="1:19" ht="27" customHeight="1">
      <c r="A120" s="3" t="s">
        <v>419</v>
      </c>
      <c r="B120" s="3" t="s">
        <v>347</v>
      </c>
      <c r="C120" s="3">
        <v>9</v>
      </c>
      <c r="D120" s="3" t="s">
        <v>420</v>
      </c>
      <c r="E120" s="3" t="s">
        <v>421</v>
      </c>
      <c r="F120" s="3" t="s">
        <v>422</v>
      </c>
      <c r="G120" s="6">
        <v>46307</v>
      </c>
      <c r="H120" s="6">
        <v>46313</v>
      </c>
      <c r="I120" s="3" t="s">
        <v>49</v>
      </c>
      <c r="J120" s="3" t="s">
        <v>43</v>
      </c>
      <c r="K120" s="9">
        <v>0</v>
      </c>
      <c r="L120" s="12">
        <v>3</v>
      </c>
      <c r="M120" s="12">
        <v>0</v>
      </c>
      <c r="N120" s="3" t="s">
        <v>403</v>
      </c>
      <c r="O120" s="3" t="s">
        <v>44</v>
      </c>
      <c r="P120" s="15">
        <f t="shared" ca="1" si="2"/>
        <v>61</v>
      </c>
      <c r="Q120" s="3" t="str">
        <f t="shared" ca="1" si="3"/>
        <v>On Track</v>
      </c>
      <c r="R120" s="3"/>
      <c r="S120" s="3"/>
    </row>
    <row r="121" spans="1:19" ht="27" customHeight="1">
      <c r="A121" s="3" t="s">
        <v>423</v>
      </c>
      <c r="B121" s="3" t="s">
        <v>347</v>
      </c>
      <c r="C121" s="3">
        <v>9</v>
      </c>
      <c r="D121" s="3" t="s">
        <v>192</v>
      </c>
      <c r="E121" s="3" t="s">
        <v>424</v>
      </c>
      <c r="F121" s="3" t="s">
        <v>425</v>
      </c>
      <c r="G121" s="6">
        <v>46307</v>
      </c>
      <c r="H121" s="6">
        <v>46313</v>
      </c>
      <c r="I121" s="3" t="s">
        <v>42</v>
      </c>
      <c r="J121" s="3" t="s">
        <v>43</v>
      </c>
      <c r="K121" s="9">
        <v>0</v>
      </c>
      <c r="L121" s="12">
        <v>5</v>
      </c>
      <c r="M121" s="12">
        <v>0</v>
      </c>
      <c r="N121" s="3" t="s">
        <v>413</v>
      </c>
      <c r="O121" s="3" t="s">
        <v>44</v>
      </c>
      <c r="P121" s="15">
        <f t="shared" ca="1" si="2"/>
        <v>61</v>
      </c>
      <c r="Q121" s="3" t="str">
        <f t="shared" ca="1" si="3"/>
        <v>On Track</v>
      </c>
      <c r="R121" s="3"/>
      <c r="S121" s="3"/>
    </row>
    <row r="122" spans="1:19" ht="27" customHeight="1">
      <c r="A122" s="3" t="s">
        <v>426</v>
      </c>
      <c r="B122" s="3" t="s">
        <v>347</v>
      </c>
      <c r="C122" s="3">
        <v>10</v>
      </c>
      <c r="D122" s="3" t="s">
        <v>184</v>
      </c>
      <c r="E122" s="3" t="s">
        <v>427</v>
      </c>
      <c r="F122" s="3" t="s">
        <v>428</v>
      </c>
      <c r="G122" s="6">
        <v>46314</v>
      </c>
      <c r="H122" s="6">
        <v>46320</v>
      </c>
      <c r="I122" s="3" t="s">
        <v>42</v>
      </c>
      <c r="J122" s="3" t="s">
        <v>43</v>
      </c>
      <c r="K122" s="9">
        <v>0</v>
      </c>
      <c r="L122" s="12">
        <v>5</v>
      </c>
      <c r="M122" s="12">
        <v>0</v>
      </c>
      <c r="N122" s="3" t="s">
        <v>387</v>
      </c>
      <c r="O122" s="3" t="s">
        <v>44</v>
      </c>
      <c r="P122" s="15">
        <f t="shared" ca="1" si="2"/>
        <v>68</v>
      </c>
      <c r="Q122" s="3" t="str">
        <f t="shared" ca="1" si="3"/>
        <v>On Track</v>
      </c>
      <c r="R122" s="3"/>
      <c r="S122" s="3"/>
    </row>
    <row r="123" spans="1:19" ht="27" customHeight="1">
      <c r="A123" s="3" t="s">
        <v>429</v>
      </c>
      <c r="B123" s="3" t="s">
        <v>347</v>
      </c>
      <c r="C123" s="3">
        <v>10</v>
      </c>
      <c r="D123" s="3" t="s">
        <v>184</v>
      </c>
      <c r="E123" s="3" t="s">
        <v>430</v>
      </c>
      <c r="F123" s="3" t="s">
        <v>431</v>
      </c>
      <c r="G123" s="6">
        <v>46314</v>
      </c>
      <c r="H123" s="6">
        <v>46320</v>
      </c>
      <c r="I123" s="3" t="s">
        <v>42</v>
      </c>
      <c r="J123" s="3" t="s">
        <v>43</v>
      </c>
      <c r="K123" s="9">
        <v>0</v>
      </c>
      <c r="L123" s="12">
        <v>4</v>
      </c>
      <c r="M123" s="12">
        <v>0</v>
      </c>
      <c r="N123" s="3" t="s">
        <v>394</v>
      </c>
      <c r="O123" s="3" t="s">
        <v>44</v>
      </c>
      <c r="P123" s="15">
        <f t="shared" ca="1" si="2"/>
        <v>68</v>
      </c>
      <c r="Q123" s="3" t="str">
        <f t="shared" ca="1" si="3"/>
        <v>On Track</v>
      </c>
      <c r="R123" s="3"/>
      <c r="S123" s="3"/>
    </row>
    <row r="124" spans="1:19" ht="27" customHeight="1">
      <c r="A124" s="3" t="s">
        <v>432</v>
      </c>
      <c r="B124" s="3" t="s">
        <v>347</v>
      </c>
      <c r="C124" s="3">
        <v>10</v>
      </c>
      <c r="D124" s="3" t="s">
        <v>184</v>
      </c>
      <c r="E124" s="3" t="s">
        <v>433</v>
      </c>
      <c r="F124" s="3" t="s">
        <v>434</v>
      </c>
      <c r="G124" s="6">
        <v>46314</v>
      </c>
      <c r="H124" s="6">
        <v>46320</v>
      </c>
      <c r="I124" s="3" t="s">
        <v>49</v>
      </c>
      <c r="J124" s="3" t="s">
        <v>43</v>
      </c>
      <c r="K124" s="9">
        <v>0</v>
      </c>
      <c r="L124" s="12">
        <v>4</v>
      </c>
      <c r="M124" s="12">
        <v>0</v>
      </c>
      <c r="N124" s="3" t="s">
        <v>391</v>
      </c>
      <c r="O124" s="3" t="s">
        <v>44</v>
      </c>
      <c r="P124" s="15">
        <f t="shared" ca="1" si="2"/>
        <v>68</v>
      </c>
      <c r="Q124" s="3" t="str">
        <f t="shared" ca="1" si="3"/>
        <v>On Track</v>
      </c>
      <c r="R124" s="3"/>
      <c r="S124" s="3"/>
    </row>
    <row r="125" spans="1:19" ht="27" customHeight="1">
      <c r="A125" s="3" t="s">
        <v>435</v>
      </c>
      <c r="B125" s="3" t="s">
        <v>347</v>
      </c>
      <c r="C125" s="3">
        <v>10</v>
      </c>
      <c r="D125" s="3" t="s">
        <v>184</v>
      </c>
      <c r="E125" s="3" t="s">
        <v>436</v>
      </c>
      <c r="F125" s="3" t="s">
        <v>437</v>
      </c>
      <c r="G125" s="6">
        <v>46314</v>
      </c>
      <c r="H125" s="6">
        <v>46320</v>
      </c>
      <c r="I125" s="3" t="s">
        <v>49</v>
      </c>
      <c r="J125" s="3" t="s">
        <v>43</v>
      </c>
      <c r="K125" s="9">
        <v>0</v>
      </c>
      <c r="L125" s="12">
        <v>3</v>
      </c>
      <c r="M125" s="12">
        <v>0</v>
      </c>
      <c r="N125" s="3" t="s">
        <v>432</v>
      </c>
      <c r="O125" s="3" t="s">
        <v>44</v>
      </c>
      <c r="P125" s="15">
        <f t="shared" ca="1" si="2"/>
        <v>68</v>
      </c>
      <c r="Q125" s="3" t="str">
        <f t="shared" ca="1" si="3"/>
        <v>On Track</v>
      </c>
      <c r="R125" s="3"/>
      <c r="S125" s="3"/>
    </row>
    <row r="126" spans="1:19" ht="27" customHeight="1">
      <c r="A126" s="3" t="s">
        <v>438</v>
      </c>
      <c r="B126" s="3" t="s">
        <v>347</v>
      </c>
      <c r="C126" s="3">
        <v>10</v>
      </c>
      <c r="D126" s="3" t="s">
        <v>439</v>
      </c>
      <c r="E126" s="3" t="s">
        <v>440</v>
      </c>
      <c r="F126" s="3" t="s">
        <v>441</v>
      </c>
      <c r="G126" s="6">
        <v>46314</v>
      </c>
      <c r="H126" s="6">
        <v>46320</v>
      </c>
      <c r="I126" s="3" t="s">
        <v>42</v>
      </c>
      <c r="J126" s="3" t="s">
        <v>43</v>
      </c>
      <c r="K126" s="9">
        <v>0</v>
      </c>
      <c r="L126" s="12">
        <v>5</v>
      </c>
      <c r="M126" s="12">
        <v>0</v>
      </c>
      <c r="N126" s="3" t="s">
        <v>426</v>
      </c>
      <c r="O126" s="3" t="s">
        <v>44</v>
      </c>
      <c r="P126" s="15">
        <f t="shared" ca="1" si="2"/>
        <v>68</v>
      </c>
      <c r="Q126" s="3" t="str">
        <f t="shared" ca="1" si="3"/>
        <v>On Track</v>
      </c>
      <c r="R126" s="3"/>
      <c r="S126" s="3"/>
    </row>
    <row r="127" spans="1:19" ht="27" customHeight="1">
      <c r="A127" s="3" t="s">
        <v>442</v>
      </c>
      <c r="B127" s="3" t="s">
        <v>347</v>
      </c>
      <c r="C127" s="3">
        <v>10</v>
      </c>
      <c r="D127" s="3" t="s">
        <v>439</v>
      </c>
      <c r="E127" s="3" t="s">
        <v>443</v>
      </c>
      <c r="F127" s="3" t="s">
        <v>444</v>
      </c>
      <c r="G127" s="6">
        <v>46314</v>
      </c>
      <c r="H127" s="6">
        <v>46320</v>
      </c>
      <c r="I127" s="3" t="s">
        <v>42</v>
      </c>
      <c r="J127" s="3" t="s">
        <v>43</v>
      </c>
      <c r="K127" s="9">
        <v>0</v>
      </c>
      <c r="L127" s="12">
        <v>4</v>
      </c>
      <c r="M127" s="12">
        <v>0</v>
      </c>
      <c r="N127" s="3" t="s">
        <v>438</v>
      </c>
      <c r="O127" s="3" t="s">
        <v>44</v>
      </c>
      <c r="P127" s="15">
        <f t="shared" ca="1" si="2"/>
        <v>68</v>
      </c>
      <c r="Q127" s="3" t="str">
        <f t="shared" ca="1" si="3"/>
        <v>On Track</v>
      </c>
      <c r="R127" s="3"/>
      <c r="S127" s="3"/>
    </row>
    <row r="128" spans="1:19" ht="27" customHeight="1">
      <c r="A128" s="3" t="s">
        <v>445</v>
      </c>
      <c r="B128" s="3" t="s">
        <v>347</v>
      </c>
      <c r="C128" s="3">
        <v>10</v>
      </c>
      <c r="D128" s="3" t="s">
        <v>439</v>
      </c>
      <c r="E128" s="3" t="s">
        <v>446</v>
      </c>
      <c r="F128" s="3" t="s">
        <v>447</v>
      </c>
      <c r="G128" s="6">
        <v>46314</v>
      </c>
      <c r="H128" s="6">
        <v>46320</v>
      </c>
      <c r="I128" s="3" t="s">
        <v>42</v>
      </c>
      <c r="J128" s="3" t="s">
        <v>43</v>
      </c>
      <c r="K128" s="9">
        <v>0</v>
      </c>
      <c r="L128" s="12">
        <v>4</v>
      </c>
      <c r="M128" s="12">
        <v>0</v>
      </c>
      <c r="N128" s="3" t="s">
        <v>438</v>
      </c>
      <c r="O128" s="3" t="s">
        <v>44</v>
      </c>
      <c r="P128" s="15">
        <f t="shared" ca="1" si="2"/>
        <v>68</v>
      </c>
      <c r="Q128" s="3" t="str">
        <f t="shared" ca="1" si="3"/>
        <v>On Track</v>
      </c>
      <c r="R128" s="3"/>
      <c r="S128" s="3"/>
    </row>
    <row r="129" spans="1:19" ht="27" customHeight="1">
      <c r="A129" s="3" t="s">
        <v>448</v>
      </c>
      <c r="B129" s="3" t="s">
        <v>347</v>
      </c>
      <c r="C129" s="3">
        <v>10</v>
      </c>
      <c r="D129" s="3" t="s">
        <v>439</v>
      </c>
      <c r="E129" s="3" t="s">
        <v>449</v>
      </c>
      <c r="F129" s="3" t="s">
        <v>450</v>
      </c>
      <c r="G129" s="6">
        <v>46314</v>
      </c>
      <c r="H129" s="6">
        <v>46320</v>
      </c>
      <c r="I129" s="3" t="s">
        <v>42</v>
      </c>
      <c r="J129" s="3" t="s">
        <v>43</v>
      </c>
      <c r="K129" s="9">
        <v>0</v>
      </c>
      <c r="L129" s="12">
        <v>4</v>
      </c>
      <c r="M129" s="12">
        <v>0</v>
      </c>
      <c r="N129" s="3" t="s">
        <v>438</v>
      </c>
      <c r="O129" s="3" t="s">
        <v>44</v>
      </c>
      <c r="P129" s="15">
        <f t="shared" ca="1" si="2"/>
        <v>68</v>
      </c>
      <c r="Q129" s="3" t="str">
        <f t="shared" ca="1" si="3"/>
        <v>On Track</v>
      </c>
      <c r="R129" s="3"/>
      <c r="S129" s="3"/>
    </row>
    <row r="130" spans="1:19" ht="27" customHeight="1">
      <c r="A130" s="3" t="s">
        <v>451</v>
      </c>
      <c r="B130" s="3" t="s">
        <v>347</v>
      </c>
      <c r="C130" s="3">
        <v>10</v>
      </c>
      <c r="D130" s="3" t="s">
        <v>439</v>
      </c>
      <c r="E130" s="3" t="s">
        <v>452</v>
      </c>
      <c r="F130" s="3" t="s">
        <v>453</v>
      </c>
      <c r="G130" s="6">
        <v>46314</v>
      </c>
      <c r="H130" s="6">
        <v>46320</v>
      </c>
      <c r="I130" s="3" t="s">
        <v>42</v>
      </c>
      <c r="J130" s="3" t="s">
        <v>43</v>
      </c>
      <c r="K130" s="9">
        <v>0</v>
      </c>
      <c r="L130" s="12">
        <v>5</v>
      </c>
      <c r="M130" s="12">
        <v>0</v>
      </c>
      <c r="N130" s="3" t="s">
        <v>438</v>
      </c>
      <c r="O130" s="3" t="s">
        <v>44</v>
      </c>
      <c r="P130" s="15">
        <f t="shared" ca="1" si="2"/>
        <v>68</v>
      </c>
      <c r="Q130" s="3" t="str">
        <f t="shared" ca="1" si="3"/>
        <v>On Track</v>
      </c>
      <c r="R130" s="3"/>
      <c r="S130" s="3"/>
    </row>
    <row r="131" spans="1:19" ht="27" customHeight="1">
      <c r="A131" s="3" t="s">
        <v>454</v>
      </c>
      <c r="B131" s="3" t="s">
        <v>347</v>
      </c>
      <c r="C131" s="3">
        <v>10</v>
      </c>
      <c r="D131" s="3" t="s">
        <v>439</v>
      </c>
      <c r="E131" s="3" t="s">
        <v>455</v>
      </c>
      <c r="F131" s="3" t="s">
        <v>456</v>
      </c>
      <c r="G131" s="6">
        <v>46314</v>
      </c>
      <c r="H131" s="6">
        <v>46320</v>
      </c>
      <c r="I131" s="3" t="s">
        <v>49</v>
      </c>
      <c r="J131" s="3" t="s">
        <v>43</v>
      </c>
      <c r="K131" s="9">
        <v>0</v>
      </c>
      <c r="L131" s="12">
        <v>4</v>
      </c>
      <c r="M131" s="12">
        <v>0</v>
      </c>
      <c r="N131" s="3" t="s">
        <v>445</v>
      </c>
      <c r="O131" s="3" t="s">
        <v>44</v>
      </c>
      <c r="P131" s="15">
        <f t="shared" ca="1" si="2"/>
        <v>68</v>
      </c>
      <c r="Q131" s="3" t="str">
        <f t="shared" ca="1" si="3"/>
        <v>On Track</v>
      </c>
      <c r="R131" s="3"/>
      <c r="S131" s="3"/>
    </row>
    <row r="132" spans="1:19" ht="27" customHeight="1">
      <c r="A132" s="3" t="s">
        <v>457</v>
      </c>
      <c r="B132" s="3" t="s">
        <v>347</v>
      </c>
      <c r="C132" s="3">
        <v>10</v>
      </c>
      <c r="D132" s="3" t="s">
        <v>46</v>
      </c>
      <c r="E132" s="3" t="s">
        <v>458</v>
      </c>
      <c r="F132" s="3" t="s">
        <v>459</v>
      </c>
      <c r="G132" s="6">
        <v>46314</v>
      </c>
      <c r="H132" s="6">
        <v>46320</v>
      </c>
      <c r="I132" s="3" t="s">
        <v>42</v>
      </c>
      <c r="J132" s="3" t="s">
        <v>43</v>
      </c>
      <c r="K132" s="9">
        <v>0</v>
      </c>
      <c r="L132" s="12">
        <v>4</v>
      </c>
      <c r="M132" s="12">
        <v>0</v>
      </c>
      <c r="N132" s="3" t="s">
        <v>83</v>
      </c>
      <c r="O132" s="3" t="s">
        <v>44</v>
      </c>
      <c r="P132" s="15">
        <f t="shared" ca="1" si="2"/>
        <v>68</v>
      </c>
      <c r="Q132" s="3" t="str">
        <f t="shared" ca="1" si="3"/>
        <v>On Track</v>
      </c>
      <c r="R132" s="3"/>
      <c r="S132" s="3"/>
    </row>
    <row r="133" spans="1:19" ht="27" customHeight="1">
      <c r="A133" s="3" t="s">
        <v>460</v>
      </c>
      <c r="B133" s="3" t="s">
        <v>347</v>
      </c>
      <c r="C133" s="3">
        <v>10</v>
      </c>
      <c r="D133" s="3" t="s">
        <v>46</v>
      </c>
      <c r="E133" s="3" t="s">
        <v>461</v>
      </c>
      <c r="F133" s="3" t="s">
        <v>462</v>
      </c>
      <c r="G133" s="6">
        <v>46314</v>
      </c>
      <c r="H133" s="6">
        <v>46320</v>
      </c>
      <c r="I133" s="3" t="s">
        <v>42</v>
      </c>
      <c r="J133" s="3" t="s">
        <v>43</v>
      </c>
      <c r="K133" s="9">
        <v>0</v>
      </c>
      <c r="L133" s="12">
        <v>4</v>
      </c>
      <c r="M133" s="12">
        <v>0</v>
      </c>
      <c r="N133" s="3" t="s">
        <v>457</v>
      </c>
      <c r="O133" s="3" t="s">
        <v>44</v>
      </c>
      <c r="P133" s="15">
        <f t="shared" ca="1" si="2"/>
        <v>68</v>
      </c>
      <c r="Q133" s="3" t="str">
        <f t="shared" ca="1" si="3"/>
        <v>On Track</v>
      </c>
      <c r="R133" s="3"/>
      <c r="S133" s="3"/>
    </row>
    <row r="134" spans="1:19" ht="27" customHeight="1">
      <c r="A134" s="3" t="s">
        <v>463</v>
      </c>
      <c r="B134" s="3" t="s">
        <v>347</v>
      </c>
      <c r="C134" s="3">
        <v>10</v>
      </c>
      <c r="D134" s="3" t="s">
        <v>46</v>
      </c>
      <c r="E134" s="3" t="s">
        <v>464</v>
      </c>
      <c r="F134" s="3" t="s">
        <v>465</v>
      </c>
      <c r="G134" s="6">
        <v>46314</v>
      </c>
      <c r="H134" s="6">
        <v>46320</v>
      </c>
      <c r="I134" s="3" t="s">
        <v>49</v>
      </c>
      <c r="J134" s="3" t="s">
        <v>43</v>
      </c>
      <c r="K134" s="9">
        <v>0</v>
      </c>
      <c r="L134" s="12">
        <v>3</v>
      </c>
      <c r="M134" s="12">
        <v>0</v>
      </c>
      <c r="N134" s="3" t="s">
        <v>457</v>
      </c>
      <c r="O134" s="3" t="s">
        <v>44</v>
      </c>
      <c r="P134" s="15">
        <f t="shared" ref="P134:P197" ca="1" si="4">IF(OR(J134="Complete",J134="Deferred"),"",H134-TODAY())</f>
        <v>68</v>
      </c>
      <c r="Q134" s="3" t="str">
        <f t="shared" ref="Q134:Q197" ca="1" si="5">IF(J134="Complete","Complete",IF(J134="Deferred","Deferred",IF(J134="Blocked","Blocked",IF(H134&lt;TODAY(),"Overdue",IF(H134-TODAY()&lt;=3,"Due Soon","On Track")))))</f>
        <v>On Track</v>
      </c>
      <c r="R134" s="3"/>
      <c r="S134" s="3"/>
    </row>
    <row r="135" spans="1:19" ht="27" customHeight="1">
      <c r="A135" s="3" t="s">
        <v>466</v>
      </c>
      <c r="B135" s="3" t="s">
        <v>347</v>
      </c>
      <c r="C135" s="3">
        <v>10</v>
      </c>
      <c r="D135" s="3" t="s">
        <v>192</v>
      </c>
      <c r="E135" s="3" t="s">
        <v>467</v>
      </c>
      <c r="F135" s="3" t="s">
        <v>468</v>
      </c>
      <c r="G135" s="6">
        <v>46314</v>
      </c>
      <c r="H135" s="6">
        <v>46320</v>
      </c>
      <c r="I135" s="3" t="s">
        <v>42</v>
      </c>
      <c r="J135" s="3" t="s">
        <v>43</v>
      </c>
      <c r="K135" s="9">
        <v>0</v>
      </c>
      <c r="L135" s="12">
        <v>5</v>
      </c>
      <c r="M135" s="12">
        <v>0</v>
      </c>
      <c r="N135" s="3" t="s">
        <v>451</v>
      </c>
      <c r="O135" s="3" t="s">
        <v>44</v>
      </c>
      <c r="P135" s="15">
        <f t="shared" ca="1" si="4"/>
        <v>68</v>
      </c>
      <c r="Q135" s="3" t="str">
        <f t="shared" ca="1" si="5"/>
        <v>On Track</v>
      </c>
      <c r="R135" s="3"/>
      <c r="S135" s="3"/>
    </row>
    <row r="136" spans="1:19" ht="27" customHeight="1">
      <c r="A136" s="3" t="s">
        <v>469</v>
      </c>
      <c r="B136" s="3" t="s">
        <v>470</v>
      </c>
      <c r="C136" s="3">
        <v>11</v>
      </c>
      <c r="D136" s="3" t="s">
        <v>188</v>
      </c>
      <c r="E136" s="3" t="s">
        <v>471</v>
      </c>
      <c r="F136" s="3" t="s">
        <v>472</v>
      </c>
      <c r="G136" s="6">
        <v>46321</v>
      </c>
      <c r="H136" s="6">
        <v>46327</v>
      </c>
      <c r="I136" s="3" t="s">
        <v>42</v>
      </c>
      <c r="J136" s="3" t="s">
        <v>43</v>
      </c>
      <c r="K136" s="9">
        <v>0</v>
      </c>
      <c r="L136" s="12">
        <v>5</v>
      </c>
      <c r="M136" s="12">
        <v>0</v>
      </c>
      <c r="N136" s="3" t="s">
        <v>239</v>
      </c>
      <c r="O136" s="3" t="s">
        <v>44</v>
      </c>
      <c r="P136" s="15">
        <f t="shared" ca="1" si="4"/>
        <v>75</v>
      </c>
      <c r="Q136" s="3" t="str">
        <f t="shared" ca="1" si="5"/>
        <v>On Track</v>
      </c>
      <c r="R136" s="3"/>
      <c r="S136" s="3"/>
    </row>
    <row r="137" spans="1:19" ht="27" customHeight="1">
      <c r="A137" s="3" t="s">
        <v>473</v>
      </c>
      <c r="B137" s="3" t="s">
        <v>470</v>
      </c>
      <c r="C137" s="3">
        <v>11</v>
      </c>
      <c r="D137" s="3" t="s">
        <v>188</v>
      </c>
      <c r="E137" s="3" t="s">
        <v>474</v>
      </c>
      <c r="F137" s="3" t="s">
        <v>475</v>
      </c>
      <c r="G137" s="6">
        <v>46321</v>
      </c>
      <c r="H137" s="6">
        <v>46327</v>
      </c>
      <c r="I137" s="3" t="s">
        <v>42</v>
      </c>
      <c r="J137" s="3" t="s">
        <v>43</v>
      </c>
      <c r="K137" s="9">
        <v>0</v>
      </c>
      <c r="L137" s="12">
        <v>4</v>
      </c>
      <c r="M137" s="12">
        <v>0</v>
      </c>
      <c r="N137" s="3" t="s">
        <v>469</v>
      </c>
      <c r="O137" s="3" t="s">
        <v>44</v>
      </c>
      <c r="P137" s="15">
        <f t="shared" ca="1" si="4"/>
        <v>75</v>
      </c>
      <c r="Q137" s="3" t="str">
        <f t="shared" ca="1" si="5"/>
        <v>On Track</v>
      </c>
      <c r="R137" s="3"/>
      <c r="S137" s="3"/>
    </row>
    <row r="138" spans="1:19" ht="27" customHeight="1">
      <c r="A138" s="3" t="s">
        <v>476</v>
      </c>
      <c r="B138" s="3" t="s">
        <v>470</v>
      </c>
      <c r="C138" s="3">
        <v>11</v>
      </c>
      <c r="D138" s="3" t="s">
        <v>188</v>
      </c>
      <c r="E138" s="3" t="s">
        <v>477</v>
      </c>
      <c r="F138" s="3" t="s">
        <v>478</v>
      </c>
      <c r="G138" s="6">
        <v>46321</v>
      </c>
      <c r="H138" s="6">
        <v>46327</v>
      </c>
      <c r="I138" s="3" t="s">
        <v>42</v>
      </c>
      <c r="J138" s="3" t="s">
        <v>43</v>
      </c>
      <c r="K138" s="9">
        <v>0</v>
      </c>
      <c r="L138" s="12">
        <v>5</v>
      </c>
      <c r="M138" s="12">
        <v>0</v>
      </c>
      <c r="N138" s="3" t="s">
        <v>473</v>
      </c>
      <c r="O138" s="3" t="s">
        <v>44</v>
      </c>
      <c r="P138" s="15">
        <f t="shared" ca="1" si="4"/>
        <v>75</v>
      </c>
      <c r="Q138" s="3" t="str">
        <f t="shared" ca="1" si="5"/>
        <v>On Track</v>
      </c>
      <c r="R138" s="3"/>
      <c r="S138" s="3"/>
    </row>
    <row r="139" spans="1:19" ht="27" customHeight="1">
      <c r="A139" s="3" t="s">
        <v>479</v>
      </c>
      <c r="B139" s="3" t="s">
        <v>470</v>
      </c>
      <c r="C139" s="3">
        <v>11</v>
      </c>
      <c r="D139" s="3" t="s">
        <v>188</v>
      </c>
      <c r="E139" s="3" t="s">
        <v>480</v>
      </c>
      <c r="F139" s="3" t="s">
        <v>481</v>
      </c>
      <c r="G139" s="6">
        <v>46321</v>
      </c>
      <c r="H139" s="6">
        <v>46327</v>
      </c>
      <c r="I139" s="3" t="s">
        <v>49</v>
      </c>
      <c r="J139" s="3" t="s">
        <v>43</v>
      </c>
      <c r="K139" s="9">
        <v>0</v>
      </c>
      <c r="L139" s="12">
        <v>2</v>
      </c>
      <c r="M139" s="12">
        <v>0</v>
      </c>
      <c r="N139" s="3" t="s">
        <v>473</v>
      </c>
      <c r="O139" s="3" t="s">
        <v>44</v>
      </c>
      <c r="P139" s="15">
        <f t="shared" ca="1" si="4"/>
        <v>75</v>
      </c>
      <c r="Q139" s="3" t="str">
        <f t="shared" ca="1" si="5"/>
        <v>On Track</v>
      </c>
      <c r="R139" s="3"/>
      <c r="S139" s="3"/>
    </row>
    <row r="140" spans="1:19" ht="27" customHeight="1">
      <c r="A140" s="3" t="s">
        <v>482</v>
      </c>
      <c r="B140" s="3" t="s">
        <v>470</v>
      </c>
      <c r="C140" s="3">
        <v>11</v>
      </c>
      <c r="D140" s="3" t="s">
        <v>188</v>
      </c>
      <c r="E140" s="3" t="s">
        <v>483</v>
      </c>
      <c r="F140" s="3" t="s">
        <v>484</v>
      </c>
      <c r="G140" s="6">
        <v>46321</v>
      </c>
      <c r="H140" s="6">
        <v>46327</v>
      </c>
      <c r="I140" s="3" t="s">
        <v>49</v>
      </c>
      <c r="J140" s="3" t="s">
        <v>43</v>
      </c>
      <c r="K140" s="9">
        <v>0</v>
      </c>
      <c r="L140" s="12">
        <v>2</v>
      </c>
      <c r="M140" s="12">
        <v>0</v>
      </c>
      <c r="N140" s="3" t="s">
        <v>473</v>
      </c>
      <c r="O140" s="3" t="s">
        <v>44</v>
      </c>
      <c r="P140" s="15">
        <f t="shared" ca="1" si="4"/>
        <v>75</v>
      </c>
      <c r="Q140" s="3" t="str">
        <f t="shared" ca="1" si="5"/>
        <v>On Track</v>
      </c>
      <c r="R140" s="3"/>
      <c r="S140" s="3"/>
    </row>
    <row r="141" spans="1:19" ht="27" customHeight="1">
      <c r="A141" s="3" t="s">
        <v>485</v>
      </c>
      <c r="B141" s="3" t="s">
        <v>470</v>
      </c>
      <c r="C141" s="3">
        <v>11</v>
      </c>
      <c r="D141" s="3" t="s">
        <v>188</v>
      </c>
      <c r="E141" s="3" t="s">
        <v>486</v>
      </c>
      <c r="F141" s="3" t="s">
        <v>487</v>
      </c>
      <c r="G141" s="6">
        <v>46321</v>
      </c>
      <c r="H141" s="6">
        <v>46327</v>
      </c>
      <c r="I141" s="3" t="s">
        <v>42</v>
      </c>
      <c r="J141" s="3" t="s">
        <v>43</v>
      </c>
      <c r="K141" s="9">
        <v>0</v>
      </c>
      <c r="L141" s="12">
        <v>5</v>
      </c>
      <c r="M141" s="12">
        <v>0</v>
      </c>
      <c r="N141" s="3" t="s">
        <v>476</v>
      </c>
      <c r="O141" s="3" t="s">
        <v>44</v>
      </c>
      <c r="P141" s="15">
        <f t="shared" ca="1" si="4"/>
        <v>75</v>
      </c>
      <c r="Q141" s="3" t="str">
        <f t="shared" ca="1" si="5"/>
        <v>On Track</v>
      </c>
      <c r="R141" s="3"/>
      <c r="S141" s="3"/>
    </row>
    <row r="142" spans="1:19" ht="27" customHeight="1">
      <c r="A142" s="3" t="s">
        <v>488</v>
      </c>
      <c r="B142" s="3" t="s">
        <v>470</v>
      </c>
      <c r="C142" s="3">
        <v>11</v>
      </c>
      <c r="D142" s="3" t="s">
        <v>188</v>
      </c>
      <c r="E142" s="3" t="s">
        <v>489</v>
      </c>
      <c r="F142" s="3" t="s">
        <v>490</v>
      </c>
      <c r="G142" s="6">
        <v>46321</v>
      </c>
      <c r="H142" s="6">
        <v>46327</v>
      </c>
      <c r="I142" s="3" t="s">
        <v>42</v>
      </c>
      <c r="J142" s="3" t="s">
        <v>43</v>
      </c>
      <c r="K142" s="9">
        <v>0</v>
      </c>
      <c r="L142" s="12">
        <v>3</v>
      </c>
      <c r="M142" s="12">
        <v>0</v>
      </c>
      <c r="N142" s="3" t="s">
        <v>469</v>
      </c>
      <c r="O142" s="3" t="s">
        <v>44</v>
      </c>
      <c r="P142" s="15">
        <f t="shared" ca="1" si="4"/>
        <v>75</v>
      </c>
      <c r="Q142" s="3" t="str">
        <f t="shared" ca="1" si="5"/>
        <v>On Track</v>
      </c>
      <c r="R142" s="3"/>
      <c r="S142" s="3"/>
    </row>
    <row r="143" spans="1:19" ht="27" customHeight="1">
      <c r="A143" s="3" t="s">
        <v>491</v>
      </c>
      <c r="B143" s="3" t="s">
        <v>470</v>
      </c>
      <c r="C143" s="3">
        <v>11</v>
      </c>
      <c r="D143" s="3" t="s">
        <v>188</v>
      </c>
      <c r="E143" s="3" t="s">
        <v>492</v>
      </c>
      <c r="F143" s="3" t="s">
        <v>493</v>
      </c>
      <c r="G143" s="6">
        <v>46321</v>
      </c>
      <c r="H143" s="6">
        <v>46327</v>
      </c>
      <c r="I143" s="3" t="s">
        <v>49</v>
      </c>
      <c r="J143" s="3" t="s">
        <v>43</v>
      </c>
      <c r="K143" s="9">
        <v>0</v>
      </c>
      <c r="L143" s="12">
        <v>2</v>
      </c>
      <c r="M143" s="12">
        <v>0</v>
      </c>
      <c r="N143" s="3" t="s">
        <v>485</v>
      </c>
      <c r="O143" s="3" t="s">
        <v>44</v>
      </c>
      <c r="P143" s="15">
        <f t="shared" ca="1" si="4"/>
        <v>75</v>
      </c>
      <c r="Q143" s="3" t="str">
        <f t="shared" ca="1" si="5"/>
        <v>On Track</v>
      </c>
      <c r="R143" s="3"/>
      <c r="S143" s="3"/>
    </row>
    <row r="144" spans="1:19" ht="27" customHeight="1">
      <c r="A144" s="3" t="s">
        <v>494</v>
      </c>
      <c r="B144" s="3" t="s">
        <v>470</v>
      </c>
      <c r="C144" s="3">
        <v>11</v>
      </c>
      <c r="D144" s="3" t="s">
        <v>188</v>
      </c>
      <c r="E144" s="3" t="s">
        <v>495</v>
      </c>
      <c r="F144" s="3" t="s">
        <v>496</v>
      </c>
      <c r="G144" s="6">
        <v>46321</v>
      </c>
      <c r="H144" s="6">
        <v>46327</v>
      </c>
      <c r="I144" s="3" t="s">
        <v>42</v>
      </c>
      <c r="J144" s="3" t="s">
        <v>43</v>
      </c>
      <c r="K144" s="9">
        <v>0</v>
      </c>
      <c r="L144" s="12">
        <v>3</v>
      </c>
      <c r="M144" s="12">
        <v>0</v>
      </c>
      <c r="N144" s="3" t="s">
        <v>485</v>
      </c>
      <c r="O144" s="3" t="s">
        <v>44</v>
      </c>
      <c r="P144" s="15">
        <f t="shared" ca="1" si="4"/>
        <v>75</v>
      </c>
      <c r="Q144" s="3" t="str">
        <f t="shared" ca="1" si="5"/>
        <v>On Track</v>
      </c>
      <c r="R144" s="3"/>
      <c r="S144" s="3"/>
    </row>
    <row r="145" spans="1:19" ht="27" customHeight="1">
      <c r="A145" s="3" t="s">
        <v>497</v>
      </c>
      <c r="B145" s="3" t="s">
        <v>470</v>
      </c>
      <c r="C145" s="3">
        <v>11</v>
      </c>
      <c r="D145" s="3" t="s">
        <v>192</v>
      </c>
      <c r="E145" s="3" t="s">
        <v>498</v>
      </c>
      <c r="F145" s="3" t="s">
        <v>499</v>
      </c>
      <c r="G145" s="6">
        <v>46321</v>
      </c>
      <c r="H145" s="6">
        <v>46327</v>
      </c>
      <c r="I145" s="3" t="s">
        <v>42</v>
      </c>
      <c r="J145" s="3" t="s">
        <v>43</v>
      </c>
      <c r="K145" s="9">
        <v>0</v>
      </c>
      <c r="L145" s="12">
        <v>4</v>
      </c>
      <c r="M145" s="12">
        <v>0</v>
      </c>
      <c r="N145" s="3" t="s">
        <v>476</v>
      </c>
      <c r="O145" s="3" t="s">
        <v>44</v>
      </c>
      <c r="P145" s="15">
        <f t="shared" ca="1" si="4"/>
        <v>75</v>
      </c>
      <c r="Q145" s="3" t="str">
        <f t="shared" ca="1" si="5"/>
        <v>On Track</v>
      </c>
      <c r="R145" s="3"/>
      <c r="S145" s="3"/>
    </row>
    <row r="146" spans="1:19" ht="27" customHeight="1">
      <c r="A146" s="3" t="s">
        <v>500</v>
      </c>
      <c r="B146" s="3" t="s">
        <v>470</v>
      </c>
      <c r="C146" s="3">
        <v>11</v>
      </c>
      <c r="D146" s="3" t="s">
        <v>46</v>
      </c>
      <c r="E146" s="3" t="s">
        <v>501</v>
      </c>
      <c r="F146" s="3" t="s">
        <v>502</v>
      </c>
      <c r="G146" s="6">
        <v>46321</v>
      </c>
      <c r="H146" s="6">
        <v>46327</v>
      </c>
      <c r="I146" s="3" t="s">
        <v>42</v>
      </c>
      <c r="J146" s="3" t="s">
        <v>43</v>
      </c>
      <c r="K146" s="9">
        <v>0</v>
      </c>
      <c r="L146" s="12">
        <v>3</v>
      </c>
      <c r="M146" s="12">
        <v>0</v>
      </c>
      <c r="N146" s="3" t="s">
        <v>494</v>
      </c>
      <c r="O146" s="3" t="s">
        <v>44</v>
      </c>
      <c r="P146" s="15">
        <f t="shared" ca="1" si="4"/>
        <v>75</v>
      </c>
      <c r="Q146" s="3" t="str">
        <f t="shared" ca="1" si="5"/>
        <v>On Track</v>
      </c>
      <c r="R146" s="3"/>
      <c r="S146" s="3"/>
    </row>
    <row r="147" spans="1:19" ht="27" customHeight="1">
      <c r="A147" s="3" t="s">
        <v>503</v>
      </c>
      <c r="B147" s="3" t="s">
        <v>470</v>
      </c>
      <c r="C147" s="3">
        <v>11</v>
      </c>
      <c r="D147" s="3" t="s">
        <v>46</v>
      </c>
      <c r="E147" s="3" t="s">
        <v>504</v>
      </c>
      <c r="F147" s="3" t="s">
        <v>505</v>
      </c>
      <c r="G147" s="6">
        <v>46321</v>
      </c>
      <c r="H147" s="6">
        <v>46327</v>
      </c>
      <c r="I147" s="3" t="s">
        <v>49</v>
      </c>
      <c r="J147" s="3" t="s">
        <v>43</v>
      </c>
      <c r="K147" s="9">
        <v>0</v>
      </c>
      <c r="L147" s="12">
        <v>2</v>
      </c>
      <c r="M147" s="12">
        <v>0</v>
      </c>
      <c r="N147" s="3" t="s">
        <v>494</v>
      </c>
      <c r="O147" s="3" t="s">
        <v>44</v>
      </c>
      <c r="P147" s="15">
        <f t="shared" ca="1" si="4"/>
        <v>75</v>
      </c>
      <c r="Q147" s="3" t="str">
        <f t="shared" ca="1" si="5"/>
        <v>On Track</v>
      </c>
      <c r="R147" s="3"/>
      <c r="S147" s="3"/>
    </row>
    <row r="148" spans="1:19" ht="27" customHeight="1">
      <c r="A148" s="3" t="s">
        <v>506</v>
      </c>
      <c r="B148" s="3" t="s">
        <v>470</v>
      </c>
      <c r="C148" s="3">
        <v>12</v>
      </c>
      <c r="D148" s="3" t="s">
        <v>188</v>
      </c>
      <c r="E148" s="3" t="s">
        <v>507</v>
      </c>
      <c r="F148" s="3" t="s">
        <v>508</v>
      </c>
      <c r="G148" s="6">
        <v>46328</v>
      </c>
      <c r="H148" s="6">
        <v>46334</v>
      </c>
      <c r="I148" s="3" t="s">
        <v>42</v>
      </c>
      <c r="J148" s="3" t="s">
        <v>43</v>
      </c>
      <c r="K148" s="9">
        <v>0</v>
      </c>
      <c r="L148" s="12">
        <v>4</v>
      </c>
      <c r="M148" s="12">
        <v>0</v>
      </c>
      <c r="N148" s="3" t="s">
        <v>476</v>
      </c>
      <c r="O148" s="3" t="s">
        <v>44</v>
      </c>
      <c r="P148" s="15">
        <f t="shared" ca="1" si="4"/>
        <v>82</v>
      </c>
      <c r="Q148" s="3" t="str">
        <f t="shared" ca="1" si="5"/>
        <v>On Track</v>
      </c>
      <c r="R148" s="3"/>
      <c r="S148" s="3"/>
    </row>
    <row r="149" spans="1:19" ht="27" customHeight="1">
      <c r="A149" s="3" t="s">
        <v>509</v>
      </c>
      <c r="B149" s="3" t="s">
        <v>470</v>
      </c>
      <c r="C149" s="3">
        <v>12</v>
      </c>
      <c r="D149" s="3" t="s">
        <v>188</v>
      </c>
      <c r="E149" s="3" t="s">
        <v>510</v>
      </c>
      <c r="F149" s="3" t="s">
        <v>511</v>
      </c>
      <c r="G149" s="6">
        <v>46328</v>
      </c>
      <c r="H149" s="6">
        <v>46334</v>
      </c>
      <c r="I149" s="3" t="s">
        <v>49</v>
      </c>
      <c r="J149" s="3" t="s">
        <v>43</v>
      </c>
      <c r="K149" s="9">
        <v>0</v>
      </c>
      <c r="L149" s="12">
        <v>3</v>
      </c>
      <c r="M149" s="12">
        <v>0</v>
      </c>
      <c r="N149" s="3" t="s">
        <v>476</v>
      </c>
      <c r="O149" s="3" t="s">
        <v>44</v>
      </c>
      <c r="P149" s="15">
        <f t="shared" ca="1" si="4"/>
        <v>82</v>
      </c>
      <c r="Q149" s="3" t="str">
        <f t="shared" ca="1" si="5"/>
        <v>On Track</v>
      </c>
      <c r="R149" s="3"/>
      <c r="S149" s="3"/>
    </row>
    <row r="150" spans="1:19" ht="27" customHeight="1">
      <c r="A150" s="3" t="s">
        <v>512</v>
      </c>
      <c r="B150" s="3" t="s">
        <v>470</v>
      </c>
      <c r="C150" s="3">
        <v>12</v>
      </c>
      <c r="D150" s="3" t="s">
        <v>188</v>
      </c>
      <c r="E150" s="3" t="s">
        <v>513</v>
      </c>
      <c r="F150" s="3" t="s">
        <v>514</v>
      </c>
      <c r="G150" s="6">
        <v>46328</v>
      </c>
      <c r="H150" s="6">
        <v>46334</v>
      </c>
      <c r="I150" s="3" t="s">
        <v>49</v>
      </c>
      <c r="J150" s="3" t="s">
        <v>43</v>
      </c>
      <c r="K150" s="9">
        <v>0</v>
      </c>
      <c r="L150" s="12">
        <v>3</v>
      </c>
      <c r="M150" s="12">
        <v>0</v>
      </c>
      <c r="N150" s="3" t="s">
        <v>473</v>
      </c>
      <c r="O150" s="3" t="s">
        <v>44</v>
      </c>
      <c r="P150" s="15">
        <f t="shared" ca="1" si="4"/>
        <v>82</v>
      </c>
      <c r="Q150" s="3" t="str">
        <f t="shared" ca="1" si="5"/>
        <v>On Track</v>
      </c>
      <c r="R150" s="3"/>
      <c r="S150" s="3"/>
    </row>
    <row r="151" spans="1:19" ht="27" customHeight="1">
      <c r="A151" s="3" t="s">
        <v>515</v>
      </c>
      <c r="B151" s="3" t="s">
        <v>470</v>
      </c>
      <c r="C151" s="3">
        <v>12</v>
      </c>
      <c r="D151" s="3" t="s">
        <v>188</v>
      </c>
      <c r="E151" s="3" t="s">
        <v>516</v>
      </c>
      <c r="F151" s="3" t="s">
        <v>517</v>
      </c>
      <c r="G151" s="6">
        <v>46328</v>
      </c>
      <c r="H151" s="6">
        <v>46334</v>
      </c>
      <c r="I151" s="3" t="s">
        <v>42</v>
      </c>
      <c r="J151" s="3" t="s">
        <v>43</v>
      </c>
      <c r="K151" s="9">
        <v>0</v>
      </c>
      <c r="L151" s="12">
        <v>5</v>
      </c>
      <c r="M151" s="12">
        <v>0</v>
      </c>
      <c r="N151" s="3" t="s">
        <v>506</v>
      </c>
      <c r="O151" s="3" t="s">
        <v>44</v>
      </c>
      <c r="P151" s="15">
        <f t="shared" ca="1" si="4"/>
        <v>82</v>
      </c>
      <c r="Q151" s="3" t="str">
        <f t="shared" ca="1" si="5"/>
        <v>On Track</v>
      </c>
      <c r="R151" s="3"/>
      <c r="S151" s="3"/>
    </row>
    <row r="152" spans="1:19" ht="27" customHeight="1">
      <c r="A152" s="3" t="s">
        <v>518</v>
      </c>
      <c r="B152" s="3" t="s">
        <v>470</v>
      </c>
      <c r="C152" s="3">
        <v>12</v>
      </c>
      <c r="D152" s="3" t="s">
        <v>188</v>
      </c>
      <c r="E152" s="3" t="s">
        <v>519</v>
      </c>
      <c r="F152" s="3" t="s">
        <v>520</v>
      </c>
      <c r="G152" s="6">
        <v>46328</v>
      </c>
      <c r="H152" s="6">
        <v>46334</v>
      </c>
      <c r="I152" s="3" t="s">
        <v>42</v>
      </c>
      <c r="J152" s="3" t="s">
        <v>43</v>
      </c>
      <c r="K152" s="9">
        <v>0</v>
      </c>
      <c r="L152" s="12">
        <v>4</v>
      </c>
      <c r="M152" s="12">
        <v>0</v>
      </c>
      <c r="N152" s="3" t="s">
        <v>515</v>
      </c>
      <c r="O152" s="3" t="s">
        <v>44</v>
      </c>
      <c r="P152" s="15">
        <f t="shared" ca="1" si="4"/>
        <v>82</v>
      </c>
      <c r="Q152" s="3" t="str">
        <f t="shared" ca="1" si="5"/>
        <v>On Track</v>
      </c>
      <c r="R152" s="3"/>
      <c r="S152" s="3"/>
    </row>
    <row r="153" spans="1:19" ht="27" customHeight="1">
      <c r="A153" s="3" t="s">
        <v>521</v>
      </c>
      <c r="B153" s="3" t="s">
        <v>470</v>
      </c>
      <c r="C153" s="3">
        <v>12</v>
      </c>
      <c r="D153" s="3" t="s">
        <v>229</v>
      </c>
      <c r="E153" s="3" t="s">
        <v>522</v>
      </c>
      <c r="F153" s="3" t="s">
        <v>523</v>
      </c>
      <c r="G153" s="6">
        <v>46328</v>
      </c>
      <c r="H153" s="6">
        <v>46334</v>
      </c>
      <c r="I153" s="3" t="s">
        <v>42</v>
      </c>
      <c r="J153" s="3" t="s">
        <v>43</v>
      </c>
      <c r="K153" s="9">
        <v>0</v>
      </c>
      <c r="L153" s="12">
        <v>4</v>
      </c>
      <c r="M153" s="12">
        <v>0</v>
      </c>
      <c r="N153" s="3" t="s">
        <v>518</v>
      </c>
      <c r="O153" s="3" t="s">
        <v>44</v>
      </c>
      <c r="P153" s="15">
        <f t="shared" ca="1" si="4"/>
        <v>82</v>
      </c>
      <c r="Q153" s="3" t="str">
        <f t="shared" ca="1" si="5"/>
        <v>On Track</v>
      </c>
      <c r="R153" s="3"/>
      <c r="S153" s="3"/>
    </row>
    <row r="154" spans="1:19" ht="27" customHeight="1">
      <c r="A154" s="3" t="s">
        <v>524</v>
      </c>
      <c r="B154" s="3" t="s">
        <v>470</v>
      </c>
      <c r="C154" s="3">
        <v>12</v>
      </c>
      <c r="D154" s="3" t="s">
        <v>147</v>
      </c>
      <c r="E154" s="3" t="s">
        <v>525</v>
      </c>
      <c r="F154" s="3" t="s">
        <v>526</v>
      </c>
      <c r="G154" s="6">
        <v>46328</v>
      </c>
      <c r="H154" s="6">
        <v>46334</v>
      </c>
      <c r="I154" s="3" t="s">
        <v>42</v>
      </c>
      <c r="J154" s="3" t="s">
        <v>43</v>
      </c>
      <c r="K154" s="9">
        <v>0</v>
      </c>
      <c r="L154" s="12">
        <v>3</v>
      </c>
      <c r="M154" s="12">
        <v>0</v>
      </c>
      <c r="N154" s="3" t="s">
        <v>521</v>
      </c>
      <c r="O154" s="3" t="s">
        <v>44</v>
      </c>
      <c r="P154" s="15">
        <f t="shared" ca="1" si="4"/>
        <v>82</v>
      </c>
      <c r="Q154" s="3" t="str">
        <f t="shared" ca="1" si="5"/>
        <v>On Track</v>
      </c>
      <c r="R154" s="3"/>
      <c r="S154" s="3"/>
    </row>
    <row r="155" spans="1:19" ht="27" customHeight="1">
      <c r="A155" s="3" t="s">
        <v>527</v>
      </c>
      <c r="B155" s="3" t="s">
        <v>470</v>
      </c>
      <c r="C155" s="3">
        <v>12</v>
      </c>
      <c r="D155" s="3" t="s">
        <v>188</v>
      </c>
      <c r="E155" s="3" t="s">
        <v>528</v>
      </c>
      <c r="F155" s="3" t="s">
        <v>529</v>
      </c>
      <c r="G155" s="6">
        <v>46328</v>
      </c>
      <c r="H155" s="6">
        <v>46334</v>
      </c>
      <c r="I155" s="3" t="s">
        <v>49</v>
      </c>
      <c r="J155" s="3" t="s">
        <v>43</v>
      </c>
      <c r="K155" s="9">
        <v>0</v>
      </c>
      <c r="L155" s="12">
        <v>4</v>
      </c>
      <c r="M155" s="12">
        <v>0</v>
      </c>
      <c r="N155" s="3" t="s">
        <v>521</v>
      </c>
      <c r="O155" s="3" t="s">
        <v>44</v>
      </c>
      <c r="P155" s="15">
        <f t="shared" ca="1" si="4"/>
        <v>82</v>
      </c>
      <c r="Q155" s="3" t="str">
        <f t="shared" ca="1" si="5"/>
        <v>On Track</v>
      </c>
      <c r="R155" s="3"/>
      <c r="S155" s="3"/>
    </row>
    <row r="156" spans="1:19" ht="27" customHeight="1">
      <c r="A156" s="3" t="s">
        <v>530</v>
      </c>
      <c r="B156" s="3" t="s">
        <v>470</v>
      </c>
      <c r="C156" s="3">
        <v>12</v>
      </c>
      <c r="D156" s="3" t="s">
        <v>188</v>
      </c>
      <c r="E156" s="3" t="s">
        <v>531</v>
      </c>
      <c r="F156" s="3" t="s">
        <v>532</v>
      </c>
      <c r="G156" s="6">
        <v>46328</v>
      </c>
      <c r="H156" s="6">
        <v>46334</v>
      </c>
      <c r="I156" s="3" t="s">
        <v>42</v>
      </c>
      <c r="J156" s="3" t="s">
        <v>43</v>
      </c>
      <c r="K156" s="9">
        <v>0</v>
      </c>
      <c r="L156" s="12">
        <v>4</v>
      </c>
      <c r="M156" s="12">
        <v>0</v>
      </c>
      <c r="N156" s="3" t="s">
        <v>518</v>
      </c>
      <c r="O156" s="3" t="s">
        <v>44</v>
      </c>
      <c r="P156" s="15">
        <f t="shared" ca="1" si="4"/>
        <v>82</v>
      </c>
      <c r="Q156" s="3" t="str">
        <f t="shared" ca="1" si="5"/>
        <v>On Track</v>
      </c>
      <c r="R156" s="3"/>
      <c r="S156" s="3"/>
    </row>
    <row r="157" spans="1:19" ht="27" customHeight="1">
      <c r="A157" s="3" t="s">
        <v>533</v>
      </c>
      <c r="B157" s="3" t="s">
        <v>470</v>
      </c>
      <c r="C157" s="3">
        <v>12</v>
      </c>
      <c r="D157" s="3" t="s">
        <v>279</v>
      </c>
      <c r="E157" s="3" t="s">
        <v>534</v>
      </c>
      <c r="F157" s="3" t="s">
        <v>535</v>
      </c>
      <c r="G157" s="6">
        <v>46328</v>
      </c>
      <c r="H157" s="6">
        <v>46334</v>
      </c>
      <c r="I157" s="3" t="s">
        <v>42</v>
      </c>
      <c r="J157" s="3" t="s">
        <v>43</v>
      </c>
      <c r="K157" s="9">
        <v>0</v>
      </c>
      <c r="L157" s="12">
        <v>4</v>
      </c>
      <c r="M157" s="12">
        <v>0</v>
      </c>
      <c r="N157" s="3" t="s">
        <v>521</v>
      </c>
      <c r="O157" s="3" t="s">
        <v>44</v>
      </c>
      <c r="P157" s="15">
        <f t="shared" ca="1" si="4"/>
        <v>82</v>
      </c>
      <c r="Q157" s="3" t="str">
        <f t="shared" ca="1" si="5"/>
        <v>On Track</v>
      </c>
      <c r="R157" s="3"/>
      <c r="S157" s="3"/>
    </row>
    <row r="158" spans="1:19" ht="27" customHeight="1">
      <c r="A158" s="3" t="s">
        <v>536</v>
      </c>
      <c r="B158" s="3" t="s">
        <v>470</v>
      </c>
      <c r="C158" s="3">
        <v>12</v>
      </c>
      <c r="D158" s="3" t="s">
        <v>46</v>
      </c>
      <c r="E158" s="3" t="s">
        <v>537</v>
      </c>
      <c r="F158" s="3" t="s">
        <v>538</v>
      </c>
      <c r="G158" s="6">
        <v>46328</v>
      </c>
      <c r="H158" s="6">
        <v>46334</v>
      </c>
      <c r="I158" s="3" t="s">
        <v>42</v>
      </c>
      <c r="J158" s="3" t="s">
        <v>43</v>
      </c>
      <c r="K158" s="9">
        <v>0</v>
      </c>
      <c r="L158" s="12">
        <v>4</v>
      </c>
      <c r="M158" s="12">
        <v>0</v>
      </c>
      <c r="N158" s="3" t="s">
        <v>518</v>
      </c>
      <c r="O158" s="3" t="s">
        <v>44</v>
      </c>
      <c r="P158" s="15">
        <f t="shared" ca="1" si="4"/>
        <v>82</v>
      </c>
      <c r="Q158" s="3" t="str">
        <f t="shared" ca="1" si="5"/>
        <v>On Track</v>
      </c>
      <c r="R158" s="3"/>
      <c r="S158" s="3"/>
    </row>
    <row r="159" spans="1:19" ht="27" customHeight="1">
      <c r="A159" s="3" t="s">
        <v>539</v>
      </c>
      <c r="B159" s="3" t="s">
        <v>470</v>
      </c>
      <c r="C159" s="3">
        <v>12</v>
      </c>
      <c r="D159" s="3" t="s">
        <v>192</v>
      </c>
      <c r="E159" s="3" t="s">
        <v>540</v>
      </c>
      <c r="F159" s="3" t="s">
        <v>541</v>
      </c>
      <c r="G159" s="6">
        <v>46328</v>
      </c>
      <c r="H159" s="6">
        <v>46334</v>
      </c>
      <c r="I159" s="3" t="s">
        <v>42</v>
      </c>
      <c r="J159" s="3" t="s">
        <v>43</v>
      </c>
      <c r="K159" s="9">
        <v>0</v>
      </c>
      <c r="L159" s="12">
        <v>4</v>
      </c>
      <c r="M159" s="12">
        <v>0</v>
      </c>
      <c r="N159" s="3" t="s">
        <v>524</v>
      </c>
      <c r="O159" s="3" t="s">
        <v>44</v>
      </c>
      <c r="P159" s="15">
        <f t="shared" ca="1" si="4"/>
        <v>82</v>
      </c>
      <c r="Q159" s="3" t="str">
        <f t="shared" ca="1" si="5"/>
        <v>On Track</v>
      </c>
      <c r="R159" s="3"/>
      <c r="S159" s="3"/>
    </row>
    <row r="160" spans="1:19" ht="27" customHeight="1">
      <c r="A160" s="3" t="s">
        <v>542</v>
      </c>
      <c r="B160" s="3" t="s">
        <v>470</v>
      </c>
      <c r="C160" s="3">
        <v>13</v>
      </c>
      <c r="D160" s="3" t="s">
        <v>378</v>
      </c>
      <c r="E160" s="3" t="s">
        <v>543</v>
      </c>
      <c r="F160" s="3" t="s">
        <v>544</v>
      </c>
      <c r="G160" s="6">
        <v>46335</v>
      </c>
      <c r="H160" s="6">
        <v>46341</v>
      </c>
      <c r="I160" s="3" t="s">
        <v>49</v>
      </c>
      <c r="J160" s="3" t="s">
        <v>43</v>
      </c>
      <c r="K160" s="9">
        <v>0</v>
      </c>
      <c r="L160" s="12">
        <v>4</v>
      </c>
      <c r="M160" s="12">
        <v>0</v>
      </c>
      <c r="N160" s="3" t="s">
        <v>377</v>
      </c>
      <c r="O160" s="3" t="s">
        <v>44</v>
      </c>
      <c r="P160" s="15">
        <f t="shared" ca="1" si="4"/>
        <v>89</v>
      </c>
      <c r="Q160" s="3" t="str">
        <f t="shared" ca="1" si="5"/>
        <v>On Track</v>
      </c>
      <c r="R160" s="3"/>
      <c r="S160" s="3"/>
    </row>
    <row r="161" spans="1:19" ht="27" customHeight="1">
      <c r="A161" s="3" t="s">
        <v>545</v>
      </c>
      <c r="B161" s="3" t="s">
        <v>470</v>
      </c>
      <c r="C161" s="3">
        <v>13</v>
      </c>
      <c r="D161" s="3" t="s">
        <v>378</v>
      </c>
      <c r="E161" s="3" t="s">
        <v>546</v>
      </c>
      <c r="F161" s="3" t="s">
        <v>547</v>
      </c>
      <c r="G161" s="6">
        <v>46335</v>
      </c>
      <c r="H161" s="6">
        <v>46341</v>
      </c>
      <c r="I161" s="3" t="s">
        <v>49</v>
      </c>
      <c r="J161" s="3" t="s">
        <v>43</v>
      </c>
      <c r="K161" s="9">
        <v>0</v>
      </c>
      <c r="L161" s="12">
        <v>4</v>
      </c>
      <c r="M161" s="12">
        <v>0</v>
      </c>
      <c r="N161" s="3" t="s">
        <v>542</v>
      </c>
      <c r="O161" s="3" t="s">
        <v>44</v>
      </c>
      <c r="P161" s="15">
        <f t="shared" ca="1" si="4"/>
        <v>89</v>
      </c>
      <c r="Q161" s="3" t="str">
        <f t="shared" ca="1" si="5"/>
        <v>On Track</v>
      </c>
      <c r="R161" s="3"/>
      <c r="S161" s="3"/>
    </row>
    <row r="162" spans="1:19" ht="27" customHeight="1">
      <c r="A162" s="3" t="s">
        <v>548</v>
      </c>
      <c r="B162" s="3" t="s">
        <v>470</v>
      </c>
      <c r="C162" s="3">
        <v>13</v>
      </c>
      <c r="D162" s="3" t="s">
        <v>378</v>
      </c>
      <c r="E162" s="3" t="s">
        <v>549</v>
      </c>
      <c r="F162" s="3" t="s">
        <v>550</v>
      </c>
      <c r="G162" s="6">
        <v>46335</v>
      </c>
      <c r="H162" s="6">
        <v>46341</v>
      </c>
      <c r="I162" s="3" t="s">
        <v>42</v>
      </c>
      <c r="J162" s="3" t="s">
        <v>43</v>
      </c>
      <c r="K162" s="9">
        <v>0</v>
      </c>
      <c r="L162" s="12">
        <v>5</v>
      </c>
      <c r="M162" s="12">
        <v>0</v>
      </c>
      <c r="N162" s="3" t="s">
        <v>337</v>
      </c>
      <c r="O162" s="3" t="s">
        <v>44</v>
      </c>
      <c r="P162" s="15">
        <f t="shared" ca="1" si="4"/>
        <v>89</v>
      </c>
      <c r="Q162" s="3" t="str">
        <f t="shared" ca="1" si="5"/>
        <v>On Track</v>
      </c>
      <c r="R162" s="3"/>
      <c r="S162" s="3"/>
    </row>
    <row r="163" spans="1:19" ht="27" customHeight="1">
      <c r="A163" s="3" t="s">
        <v>551</v>
      </c>
      <c r="B163" s="3" t="s">
        <v>470</v>
      </c>
      <c r="C163" s="3">
        <v>13</v>
      </c>
      <c r="D163" s="3" t="s">
        <v>378</v>
      </c>
      <c r="E163" s="3" t="s">
        <v>552</v>
      </c>
      <c r="F163" s="3" t="s">
        <v>553</v>
      </c>
      <c r="G163" s="6">
        <v>46335</v>
      </c>
      <c r="H163" s="6">
        <v>46341</v>
      </c>
      <c r="I163" s="3" t="s">
        <v>49</v>
      </c>
      <c r="J163" s="3" t="s">
        <v>43</v>
      </c>
      <c r="K163" s="9">
        <v>0</v>
      </c>
      <c r="L163" s="12">
        <v>3</v>
      </c>
      <c r="M163" s="12">
        <v>0</v>
      </c>
      <c r="N163" s="3" t="s">
        <v>548</v>
      </c>
      <c r="O163" s="3" t="s">
        <v>44</v>
      </c>
      <c r="P163" s="15">
        <f t="shared" ca="1" si="4"/>
        <v>89</v>
      </c>
      <c r="Q163" s="3" t="str">
        <f t="shared" ca="1" si="5"/>
        <v>On Track</v>
      </c>
      <c r="R163" s="3"/>
      <c r="S163" s="3"/>
    </row>
    <row r="164" spans="1:19" ht="27" customHeight="1">
      <c r="A164" s="3" t="s">
        <v>554</v>
      </c>
      <c r="B164" s="3" t="s">
        <v>470</v>
      </c>
      <c r="C164" s="3">
        <v>13</v>
      </c>
      <c r="D164" s="3" t="s">
        <v>378</v>
      </c>
      <c r="E164" s="3" t="s">
        <v>555</v>
      </c>
      <c r="F164" s="3" t="s">
        <v>556</v>
      </c>
      <c r="G164" s="6">
        <v>46335</v>
      </c>
      <c r="H164" s="6">
        <v>46341</v>
      </c>
      <c r="I164" s="3" t="s">
        <v>49</v>
      </c>
      <c r="J164" s="3" t="s">
        <v>43</v>
      </c>
      <c r="K164" s="9">
        <v>0</v>
      </c>
      <c r="L164" s="12">
        <v>3</v>
      </c>
      <c r="M164" s="12">
        <v>0</v>
      </c>
      <c r="N164" s="3" t="s">
        <v>319</v>
      </c>
      <c r="O164" s="3" t="s">
        <v>44</v>
      </c>
      <c r="P164" s="15">
        <f t="shared" ca="1" si="4"/>
        <v>89</v>
      </c>
      <c r="Q164" s="3" t="str">
        <f t="shared" ca="1" si="5"/>
        <v>On Track</v>
      </c>
      <c r="R164" s="3"/>
      <c r="S164" s="3"/>
    </row>
    <row r="165" spans="1:19" ht="27" customHeight="1">
      <c r="A165" s="3" t="s">
        <v>557</v>
      </c>
      <c r="B165" s="3" t="s">
        <v>470</v>
      </c>
      <c r="C165" s="3">
        <v>13</v>
      </c>
      <c r="D165" s="3" t="s">
        <v>378</v>
      </c>
      <c r="E165" s="3" t="s">
        <v>558</v>
      </c>
      <c r="F165" s="3" t="s">
        <v>559</v>
      </c>
      <c r="G165" s="6">
        <v>46335</v>
      </c>
      <c r="H165" s="6">
        <v>46341</v>
      </c>
      <c r="I165" s="3" t="s">
        <v>82</v>
      </c>
      <c r="J165" s="3" t="s">
        <v>43</v>
      </c>
      <c r="K165" s="9">
        <v>0</v>
      </c>
      <c r="L165" s="12">
        <v>4</v>
      </c>
      <c r="M165" s="12">
        <v>0</v>
      </c>
      <c r="N165" s="3" t="s">
        <v>454</v>
      </c>
      <c r="O165" s="3" t="s">
        <v>44</v>
      </c>
      <c r="P165" s="15">
        <f t="shared" ca="1" si="4"/>
        <v>89</v>
      </c>
      <c r="Q165" s="3" t="str">
        <f t="shared" ca="1" si="5"/>
        <v>On Track</v>
      </c>
      <c r="R165" s="3"/>
      <c r="S165" s="3"/>
    </row>
    <row r="166" spans="1:19" ht="27" customHeight="1">
      <c r="A166" s="3" t="s">
        <v>560</v>
      </c>
      <c r="B166" s="3" t="s">
        <v>470</v>
      </c>
      <c r="C166" s="3">
        <v>13</v>
      </c>
      <c r="D166" s="3" t="s">
        <v>378</v>
      </c>
      <c r="E166" s="3" t="s">
        <v>561</v>
      </c>
      <c r="F166" s="3" t="s">
        <v>562</v>
      </c>
      <c r="G166" s="6">
        <v>46335</v>
      </c>
      <c r="H166" s="6">
        <v>46341</v>
      </c>
      <c r="I166" s="3" t="s">
        <v>42</v>
      </c>
      <c r="J166" s="3" t="s">
        <v>43</v>
      </c>
      <c r="K166" s="9">
        <v>0</v>
      </c>
      <c r="L166" s="12">
        <v>4</v>
      </c>
      <c r="M166" s="12">
        <v>0</v>
      </c>
      <c r="N166" s="3" t="s">
        <v>167</v>
      </c>
      <c r="O166" s="3" t="s">
        <v>44</v>
      </c>
      <c r="P166" s="15">
        <f t="shared" ca="1" si="4"/>
        <v>89</v>
      </c>
      <c r="Q166" s="3" t="str">
        <f t="shared" ca="1" si="5"/>
        <v>On Track</v>
      </c>
      <c r="R166" s="3"/>
      <c r="S166" s="3"/>
    </row>
    <row r="167" spans="1:19" ht="27" customHeight="1">
      <c r="A167" s="3" t="s">
        <v>563</v>
      </c>
      <c r="B167" s="3" t="s">
        <v>470</v>
      </c>
      <c r="C167" s="3">
        <v>13</v>
      </c>
      <c r="D167" s="3" t="s">
        <v>268</v>
      </c>
      <c r="E167" s="3" t="s">
        <v>564</v>
      </c>
      <c r="F167" s="3" t="s">
        <v>565</v>
      </c>
      <c r="G167" s="6">
        <v>46335</v>
      </c>
      <c r="H167" s="6">
        <v>46341</v>
      </c>
      <c r="I167" s="3" t="s">
        <v>42</v>
      </c>
      <c r="J167" s="3" t="s">
        <v>43</v>
      </c>
      <c r="K167" s="9">
        <v>0</v>
      </c>
      <c r="L167" s="12">
        <v>5</v>
      </c>
      <c r="M167" s="12">
        <v>0</v>
      </c>
      <c r="N167" s="3" t="s">
        <v>560</v>
      </c>
      <c r="O167" s="3" t="s">
        <v>44</v>
      </c>
      <c r="P167" s="15">
        <f t="shared" ca="1" si="4"/>
        <v>89</v>
      </c>
      <c r="Q167" s="3" t="str">
        <f t="shared" ca="1" si="5"/>
        <v>On Track</v>
      </c>
      <c r="R167" s="3"/>
      <c r="S167" s="3"/>
    </row>
    <row r="168" spans="1:19" ht="27" customHeight="1">
      <c r="A168" s="3" t="s">
        <v>566</v>
      </c>
      <c r="B168" s="3" t="s">
        <v>470</v>
      </c>
      <c r="C168" s="3">
        <v>13</v>
      </c>
      <c r="D168" s="3" t="s">
        <v>567</v>
      </c>
      <c r="E168" s="3" t="s">
        <v>568</v>
      </c>
      <c r="F168" s="3" t="s">
        <v>569</v>
      </c>
      <c r="G168" s="6">
        <v>46335</v>
      </c>
      <c r="H168" s="6">
        <v>46341</v>
      </c>
      <c r="I168" s="3" t="s">
        <v>49</v>
      </c>
      <c r="J168" s="3" t="s">
        <v>43</v>
      </c>
      <c r="K168" s="9">
        <v>0</v>
      </c>
      <c r="L168" s="12">
        <v>4</v>
      </c>
      <c r="M168" s="12">
        <v>0</v>
      </c>
      <c r="N168" s="3" t="s">
        <v>83</v>
      </c>
      <c r="O168" s="3" t="s">
        <v>44</v>
      </c>
      <c r="P168" s="15">
        <f t="shared" ca="1" si="4"/>
        <v>89</v>
      </c>
      <c r="Q168" s="3" t="str">
        <f t="shared" ca="1" si="5"/>
        <v>On Track</v>
      </c>
      <c r="R168" s="3"/>
      <c r="S168" s="3"/>
    </row>
    <row r="169" spans="1:19" ht="27" customHeight="1">
      <c r="A169" s="3" t="s">
        <v>570</v>
      </c>
      <c r="B169" s="3" t="s">
        <v>470</v>
      </c>
      <c r="C169" s="3">
        <v>13</v>
      </c>
      <c r="D169" s="3" t="s">
        <v>567</v>
      </c>
      <c r="E169" s="3" t="s">
        <v>571</v>
      </c>
      <c r="F169" s="3" t="s">
        <v>572</v>
      </c>
      <c r="G169" s="6">
        <v>46335</v>
      </c>
      <c r="H169" s="6">
        <v>46341</v>
      </c>
      <c r="I169" s="3" t="s">
        <v>49</v>
      </c>
      <c r="J169" s="3" t="s">
        <v>43</v>
      </c>
      <c r="K169" s="9">
        <v>0</v>
      </c>
      <c r="L169" s="12">
        <v>3</v>
      </c>
      <c r="M169" s="12">
        <v>0</v>
      </c>
      <c r="N169" s="3" t="s">
        <v>566</v>
      </c>
      <c r="O169" s="3" t="s">
        <v>44</v>
      </c>
      <c r="P169" s="15">
        <f t="shared" ca="1" si="4"/>
        <v>89</v>
      </c>
      <c r="Q169" s="3" t="str">
        <f t="shared" ca="1" si="5"/>
        <v>On Track</v>
      </c>
      <c r="R169" s="3"/>
      <c r="S169" s="3"/>
    </row>
    <row r="170" spans="1:19" ht="27" customHeight="1">
      <c r="A170" s="3" t="s">
        <v>573</v>
      </c>
      <c r="B170" s="3" t="s">
        <v>470</v>
      </c>
      <c r="C170" s="3">
        <v>13</v>
      </c>
      <c r="D170" s="3" t="s">
        <v>87</v>
      </c>
      <c r="E170" s="3" t="s">
        <v>574</v>
      </c>
      <c r="F170" s="3" t="s">
        <v>575</v>
      </c>
      <c r="G170" s="6">
        <v>46335</v>
      </c>
      <c r="H170" s="6">
        <v>46341</v>
      </c>
      <c r="I170" s="3" t="s">
        <v>42</v>
      </c>
      <c r="J170" s="3" t="s">
        <v>43</v>
      </c>
      <c r="K170" s="9">
        <v>0</v>
      </c>
      <c r="L170" s="12">
        <v>4</v>
      </c>
      <c r="M170" s="12">
        <v>0</v>
      </c>
      <c r="N170" s="3" t="s">
        <v>566</v>
      </c>
      <c r="O170" s="3" t="s">
        <v>44</v>
      </c>
      <c r="P170" s="15">
        <f t="shared" ca="1" si="4"/>
        <v>89</v>
      </c>
      <c r="Q170" s="3" t="str">
        <f t="shared" ca="1" si="5"/>
        <v>On Track</v>
      </c>
      <c r="R170" s="3"/>
      <c r="S170" s="3"/>
    </row>
    <row r="171" spans="1:19" ht="27" customHeight="1">
      <c r="A171" s="3" t="s">
        <v>576</v>
      </c>
      <c r="B171" s="3" t="s">
        <v>470</v>
      </c>
      <c r="C171" s="3">
        <v>13</v>
      </c>
      <c r="D171" s="3" t="s">
        <v>567</v>
      </c>
      <c r="E171" s="3" t="s">
        <v>577</v>
      </c>
      <c r="F171" s="3" t="s">
        <v>578</v>
      </c>
      <c r="G171" s="6">
        <v>46335</v>
      </c>
      <c r="H171" s="6">
        <v>46341</v>
      </c>
      <c r="I171" s="3" t="s">
        <v>49</v>
      </c>
      <c r="J171" s="3" t="s">
        <v>43</v>
      </c>
      <c r="K171" s="9">
        <v>0</v>
      </c>
      <c r="L171" s="12">
        <v>3</v>
      </c>
      <c r="M171" s="12">
        <v>0</v>
      </c>
      <c r="N171" s="3" t="s">
        <v>573</v>
      </c>
      <c r="O171" s="3" t="s">
        <v>44</v>
      </c>
      <c r="P171" s="15">
        <f t="shared" ca="1" si="4"/>
        <v>89</v>
      </c>
      <c r="Q171" s="3" t="str">
        <f t="shared" ca="1" si="5"/>
        <v>On Track</v>
      </c>
      <c r="R171" s="3"/>
      <c r="S171" s="3"/>
    </row>
    <row r="172" spans="1:19" ht="27" customHeight="1">
      <c r="A172" s="3" t="s">
        <v>579</v>
      </c>
      <c r="B172" s="3" t="s">
        <v>470</v>
      </c>
      <c r="C172" s="3">
        <v>13</v>
      </c>
      <c r="D172" s="3" t="s">
        <v>192</v>
      </c>
      <c r="E172" s="3" t="s">
        <v>580</v>
      </c>
      <c r="F172" s="3" t="s">
        <v>581</v>
      </c>
      <c r="G172" s="6">
        <v>46335</v>
      </c>
      <c r="H172" s="6">
        <v>46341</v>
      </c>
      <c r="I172" s="3" t="s">
        <v>42</v>
      </c>
      <c r="J172" s="3" t="s">
        <v>43</v>
      </c>
      <c r="K172" s="9">
        <v>0</v>
      </c>
      <c r="L172" s="12">
        <v>5</v>
      </c>
      <c r="M172" s="12">
        <v>0</v>
      </c>
      <c r="N172" s="3" t="s">
        <v>563</v>
      </c>
      <c r="O172" s="3" t="s">
        <v>44</v>
      </c>
      <c r="P172" s="15">
        <f t="shared" ca="1" si="4"/>
        <v>89</v>
      </c>
      <c r="Q172" s="3" t="str">
        <f t="shared" ca="1" si="5"/>
        <v>On Track</v>
      </c>
      <c r="R172" s="3"/>
      <c r="S172" s="3"/>
    </row>
    <row r="173" spans="1:19" ht="27" customHeight="1">
      <c r="A173" s="3" t="s">
        <v>582</v>
      </c>
      <c r="B173" s="3" t="s">
        <v>583</v>
      </c>
      <c r="C173" s="3">
        <v>14</v>
      </c>
      <c r="D173" s="3" t="s">
        <v>192</v>
      </c>
      <c r="E173" s="3" t="s">
        <v>584</v>
      </c>
      <c r="F173" s="3" t="s">
        <v>585</v>
      </c>
      <c r="G173" s="6">
        <v>46342</v>
      </c>
      <c r="H173" s="6">
        <v>46348</v>
      </c>
      <c r="I173" s="3" t="s">
        <v>42</v>
      </c>
      <c r="J173" s="3" t="s">
        <v>43</v>
      </c>
      <c r="K173" s="9">
        <v>0</v>
      </c>
      <c r="L173" s="12">
        <v>6</v>
      </c>
      <c r="M173" s="12">
        <v>0</v>
      </c>
      <c r="N173" s="3" t="s">
        <v>579</v>
      </c>
      <c r="O173" s="3" t="s">
        <v>44</v>
      </c>
      <c r="P173" s="15">
        <f t="shared" ca="1" si="4"/>
        <v>96</v>
      </c>
      <c r="Q173" s="3" t="str">
        <f t="shared" ca="1" si="5"/>
        <v>On Track</v>
      </c>
      <c r="R173" s="3"/>
      <c r="S173" s="3"/>
    </row>
    <row r="174" spans="1:19" ht="27" customHeight="1">
      <c r="A174" s="3" t="s">
        <v>586</v>
      </c>
      <c r="B174" s="3" t="s">
        <v>583</v>
      </c>
      <c r="C174" s="3">
        <v>14</v>
      </c>
      <c r="D174" s="3" t="s">
        <v>420</v>
      </c>
      <c r="E174" s="3" t="s">
        <v>587</v>
      </c>
      <c r="F174" s="3" t="s">
        <v>588</v>
      </c>
      <c r="G174" s="6">
        <v>46342</v>
      </c>
      <c r="H174" s="6">
        <v>46348</v>
      </c>
      <c r="I174" s="3" t="s">
        <v>42</v>
      </c>
      <c r="J174" s="3" t="s">
        <v>43</v>
      </c>
      <c r="K174" s="9">
        <v>0</v>
      </c>
      <c r="L174" s="12">
        <v>5</v>
      </c>
      <c r="M174" s="12">
        <v>0</v>
      </c>
      <c r="N174" s="3" t="s">
        <v>582</v>
      </c>
      <c r="O174" s="3" t="s">
        <v>44</v>
      </c>
      <c r="P174" s="15">
        <f t="shared" ca="1" si="4"/>
        <v>96</v>
      </c>
      <c r="Q174" s="3" t="str">
        <f t="shared" ca="1" si="5"/>
        <v>On Track</v>
      </c>
      <c r="R174" s="3"/>
      <c r="S174" s="3"/>
    </row>
    <row r="175" spans="1:19" ht="27" customHeight="1">
      <c r="A175" s="3" t="s">
        <v>589</v>
      </c>
      <c r="B175" s="3" t="s">
        <v>583</v>
      </c>
      <c r="C175" s="3">
        <v>14</v>
      </c>
      <c r="D175" s="3" t="s">
        <v>420</v>
      </c>
      <c r="E175" s="3" t="s">
        <v>590</v>
      </c>
      <c r="F175" s="3" t="s">
        <v>591</v>
      </c>
      <c r="G175" s="6">
        <v>46342</v>
      </c>
      <c r="H175" s="6">
        <v>46348</v>
      </c>
      <c r="I175" s="3" t="s">
        <v>49</v>
      </c>
      <c r="J175" s="3" t="s">
        <v>43</v>
      </c>
      <c r="K175" s="9">
        <v>0</v>
      </c>
      <c r="L175" s="12">
        <v>4</v>
      </c>
      <c r="M175" s="12">
        <v>0</v>
      </c>
      <c r="N175" s="3" t="s">
        <v>419</v>
      </c>
      <c r="O175" s="3" t="s">
        <v>44</v>
      </c>
      <c r="P175" s="15">
        <f t="shared" ca="1" si="4"/>
        <v>96</v>
      </c>
      <c r="Q175" s="3" t="str">
        <f t="shared" ca="1" si="5"/>
        <v>On Track</v>
      </c>
      <c r="R175" s="3"/>
      <c r="S175" s="3"/>
    </row>
    <row r="176" spans="1:19" ht="27" customHeight="1">
      <c r="A176" s="3" t="s">
        <v>592</v>
      </c>
      <c r="B176" s="3" t="s">
        <v>583</v>
      </c>
      <c r="C176" s="3">
        <v>14</v>
      </c>
      <c r="D176" s="3" t="s">
        <v>420</v>
      </c>
      <c r="E176" s="3" t="s">
        <v>593</v>
      </c>
      <c r="F176" s="3" t="s">
        <v>594</v>
      </c>
      <c r="G176" s="6">
        <v>46342</v>
      </c>
      <c r="H176" s="6">
        <v>46348</v>
      </c>
      <c r="I176" s="3" t="s">
        <v>42</v>
      </c>
      <c r="J176" s="3" t="s">
        <v>43</v>
      </c>
      <c r="K176" s="9">
        <v>0</v>
      </c>
      <c r="L176" s="12">
        <v>5</v>
      </c>
      <c r="M176" s="12">
        <v>0</v>
      </c>
      <c r="N176" s="3" t="s">
        <v>586</v>
      </c>
      <c r="O176" s="3" t="s">
        <v>44</v>
      </c>
      <c r="P176" s="15">
        <f t="shared" ca="1" si="4"/>
        <v>96</v>
      </c>
      <c r="Q176" s="3" t="str">
        <f t="shared" ca="1" si="5"/>
        <v>On Track</v>
      </c>
      <c r="R176" s="3"/>
      <c r="S176" s="3"/>
    </row>
    <row r="177" spans="1:19" ht="27" customHeight="1">
      <c r="A177" s="3" t="s">
        <v>595</v>
      </c>
      <c r="B177" s="3" t="s">
        <v>583</v>
      </c>
      <c r="C177" s="3">
        <v>14</v>
      </c>
      <c r="D177" s="3" t="s">
        <v>268</v>
      </c>
      <c r="E177" s="3" t="s">
        <v>596</v>
      </c>
      <c r="F177" s="3" t="s">
        <v>597</v>
      </c>
      <c r="G177" s="6">
        <v>46342</v>
      </c>
      <c r="H177" s="6">
        <v>46348</v>
      </c>
      <c r="I177" s="3" t="s">
        <v>49</v>
      </c>
      <c r="J177" s="3" t="s">
        <v>43</v>
      </c>
      <c r="K177" s="9">
        <v>0</v>
      </c>
      <c r="L177" s="12">
        <v>4</v>
      </c>
      <c r="M177" s="12">
        <v>0</v>
      </c>
      <c r="N177" s="3" t="s">
        <v>260</v>
      </c>
      <c r="O177" s="3" t="s">
        <v>44</v>
      </c>
      <c r="P177" s="15">
        <f t="shared" ca="1" si="4"/>
        <v>96</v>
      </c>
      <c r="Q177" s="3" t="str">
        <f t="shared" ca="1" si="5"/>
        <v>On Track</v>
      </c>
      <c r="R177" s="3"/>
      <c r="S177" s="3"/>
    </row>
    <row r="178" spans="1:19" ht="27" customHeight="1">
      <c r="A178" s="3" t="s">
        <v>598</v>
      </c>
      <c r="B178" s="3" t="s">
        <v>583</v>
      </c>
      <c r="C178" s="3">
        <v>14</v>
      </c>
      <c r="D178" s="3" t="s">
        <v>420</v>
      </c>
      <c r="E178" s="3" t="s">
        <v>599</v>
      </c>
      <c r="F178" s="3" t="s">
        <v>600</v>
      </c>
      <c r="G178" s="6">
        <v>46342</v>
      </c>
      <c r="H178" s="6">
        <v>46348</v>
      </c>
      <c r="I178" s="3" t="s">
        <v>49</v>
      </c>
      <c r="J178" s="3" t="s">
        <v>43</v>
      </c>
      <c r="K178" s="9">
        <v>0</v>
      </c>
      <c r="L178" s="12">
        <v>4</v>
      </c>
      <c r="M178" s="12">
        <v>0</v>
      </c>
      <c r="N178" s="3" t="s">
        <v>563</v>
      </c>
      <c r="O178" s="3" t="s">
        <v>44</v>
      </c>
      <c r="P178" s="15">
        <f t="shared" ca="1" si="4"/>
        <v>96</v>
      </c>
      <c r="Q178" s="3" t="str">
        <f t="shared" ca="1" si="5"/>
        <v>On Track</v>
      </c>
      <c r="R178" s="3"/>
      <c r="S178" s="3"/>
    </row>
    <row r="179" spans="1:19" ht="27" customHeight="1">
      <c r="A179" s="3" t="s">
        <v>601</v>
      </c>
      <c r="B179" s="3" t="s">
        <v>583</v>
      </c>
      <c r="C179" s="3">
        <v>14</v>
      </c>
      <c r="D179" s="3" t="s">
        <v>279</v>
      </c>
      <c r="E179" s="3" t="s">
        <v>602</v>
      </c>
      <c r="F179" s="3" t="s">
        <v>603</v>
      </c>
      <c r="G179" s="6">
        <v>46342</v>
      </c>
      <c r="H179" s="6">
        <v>46348</v>
      </c>
      <c r="I179" s="3" t="s">
        <v>49</v>
      </c>
      <c r="J179" s="3" t="s">
        <v>43</v>
      </c>
      <c r="K179" s="9">
        <v>0</v>
      </c>
      <c r="L179" s="12">
        <v>4</v>
      </c>
      <c r="M179" s="12">
        <v>0</v>
      </c>
      <c r="N179" s="3" t="s">
        <v>582</v>
      </c>
      <c r="O179" s="3" t="s">
        <v>44</v>
      </c>
      <c r="P179" s="15">
        <f t="shared" ca="1" si="4"/>
        <v>96</v>
      </c>
      <c r="Q179" s="3" t="str">
        <f t="shared" ca="1" si="5"/>
        <v>On Track</v>
      </c>
      <c r="R179" s="3"/>
      <c r="S179" s="3"/>
    </row>
    <row r="180" spans="1:19" ht="27" customHeight="1">
      <c r="A180" s="3" t="s">
        <v>604</v>
      </c>
      <c r="B180" s="3" t="s">
        <v>583</v>
      </c>
      <c r="C180" s="3">
        <v>14</v>
      </c>
      <c r="D180" s="3" t="s">
        <v>142</v>
      </c>
      <c r="E180" s="3" t="s">
        <v>605</v>
      </c>
      <c r="F180" s="3" t="s">
        <v>606</v>
      </c>
      <c r="G180" s="6">
        <v>46342</v>
      </c>
      <c r="H180" s="6">
        <v>46348</v>
      </c>
      <c r="I180" s="3" t="s">
        <v>42</v>
      </c>
      <c r="J180" s="3" t="s">
        <v>43</v>
      </c>
      <c r="K180" s="9">
        <v>0</v>
      </c>
      <c r="L180" s="12">
        <v>4</v>
      </c>
      <c r="M180" s="12">
        <v>0</v>
      </c>
      <c r="N180" s="3" t="s">
        <v>582</v>
      </c>
      <c r="O180" s="3" t="s">
        <v>44</v>
      </c>
      <c r="P180" s="15">
        <f t="shared" ca="1" si="4"/>
        <v>96</v>
      </c>
      <c r="Q180" s="3" t="str">
        <f t="shared" ca="1" si="5"/>
        <v>On Track</v>
      </c>
      <c r="R180" s="3"/>
      <c r="S180" s="3"/>
    </row>
    <row r="181" spans="1:19" ht="27" customHeight="1">
      <c r="A181" s="3" t="s">
        <v>607</v>
      </c>
      <c r="B181" s="3" t="s">
        <v>583</v>
      </c>
      <c r="C181" s="3">
        <v>14</v>
      </c>
      <c r="D181" s="3" t="s">
        <v>142</v>
      </c>
      <c r="E181" s="3" t="s">
        <v>608</v>
      </c>
      <c r="F181" s="3" t="s">
        <v>609</v>
      </c>
      <c r="G181" s="6">
        <v>46342</v>
      </c>
      <c r="H181" s="6">
        <v>46348</v>
      </c>
      <c r="I181" s="3" t="s">
        <v>42</v>
      </c>
      <c r="J181" s="3" t="s">
        <v>43</v>
      </c>
      <c r="K181" s="9">
        <v>0</v>
      </c>
      <c r="L181" s="12">
        <v>3</v>
      </c>
      <c r="M181" s="12">
        <v>0</v>
      </c>
      <c r="N181" s="3" t="s">
        <v>582</v>
      </c>
      <c r="O181" s="3" t="s">
        <v>44</v>
      </c>
      <c r="P181" s="15">
        <f t="shared" ca="1" si="4"/>
        <v>96</v>
      </c>
      <c r="Q181" s="3" t="str">
        <f t="shared" ca="1" si="5"/>
        <v>On Track</v>
      </c>
      <c r="R181" s="3"/>
      <c r="S181" s="3"/>
    </row>
    <row r="182" spans="1:19" ht="27" customHeight="1">
      <c r="A182" s="3" t="s">
        <v>610</v>
      </c>
      <c r="B182" s="3" t="s">
        <v>583</v>
      </c>
      <c r="C182" s="3">
        <v>14</v>
      </c>
      <c r="D182" s="3" t="s">
        <v>142</v>
      </c>
      <c r="E182" s="3" t="s">
        <v>611</v>
      </c>
      <c r="F182" s="3" t="s">
        <v>612</v>
      </c>
      <c r="G182" s="6">
        <v>46342</v>
      </c>
      <c r="H182" s="6">
        <v>46348</v>
      </c>
      <c r="I182" s="3" t="s">
        <v>42</v>
      </c>
      <c r="J182" s="3" t="s">
        <v>43</v>
      </c>
      <c r="K182" s="9">
        <v>0</v>
      </c>
      <c r="L182" s="12">
        <v>4</v>
      </c>
      <c r="M182" s="12">
        <v>0</v>
      </c>
      <c r="N182" s="3" t="s">
        <v>343</v>
      </c>
      <c r="O182" s="3" t="s">
        <v>44</v>
      </c>
      <c r="P182" s="15">
        <f t="shared" ca="1" si="4"/>
        <v>96</v>
      </c>
      <c r="Q182" s="3" t="str">
        <f t="shared" ca="1" si="5"/>
        <v>On Track</v>
      </c>
      <c r="R182" s="3"/>
      <c r="S182" s="3"/>
    </row>
    <row r="183" spans="1:19" ht="27" customHeight="1">
      <c r="A183" s="3" t="s">
        <v>613</v>
      </c>
      <c r="B183" s="3" t="s">
        <v>583</v>
      </c>
      <c r="C183" s="3">
        <v>14</v>
      </c>
      <c r="D183" s="3" t="s">
        <v>614</v>
      </c>
      <c r="E183" s="3" t="s">
        <v>615</v>
      </c>
      <c r="F183" s="3" t="s">
        <v>616</v>
      </c>
      <c r="G183" s="6">
        <v>46342</v>
      </c>
      <c r="H183" s="6">
        <v>46348</v>
      </c>
      <c r="I183" s="3" t="s">
        <v>42</v>
      </c>
      <c r="J183" s="3" t="s">
        <v>43</v>
      </c>
      <c r="K183" s="9">
        <v>0</v>
      </c>
      <c r="L183" s="12">
        <v>4</v>
      </c>
      <c r="M183" s="12">
        <v>0</v>
      </c>
      <c r="N183" s="3" t="s">
        <v>582</v>
      </c>
      <c r="O183" s="3" t="s">
        <v>44</v>
      </c>
      <c r="P183" s="15">
        <f t="shared" ca="1" si="4"/>
        <v>96</v>
      </c>
      <c r="Q183" s="3" t="str">
        <f t="shared" ca="1" si="5"/>
        <v>On Track</v>
      </c>
      <c r="R183" s="3"/>
      <c r="S183" s="3"/>
    </row>
    <row r="184" spans="1:19" ht="27" customHeight="1">
      <c r="A184" s="3" t="s">
        <v>617</v>
      </c>
      <c r="B184" s="3" t="s">
        <v>583</v>
      </c>
      <c r="C184" s="3">
        <v>14</v>
      </c>
      <c r="D184" s="3" t="s">
        <v>192</v>
      </c>
      <c r="E184" s="3" t="s">
        <v>618</v>
      </c>
      <c r="F184" s="3" t="s">
        <v>619</v>
      </c>
      <c r="G184" s="6">
        <v>46342</v>
      </c>
      <c r="H184" s="6">
        <v>46348</v>
      </c>
      <c r="I184" s="3" t="s">
        <v>49</v>
      </c>
      <c r="J184" s="3" t="s">
        <v>43</v>
      </c>
      <c r="K184" s="9">
        <v>0</v>
      </c>
      <c r="L184" s="12">
        <v>5</v>
      </c>
      <c r="M184" s="12">
        <v>0</v>
      </c>
      <c r="N184" s="3" t="s">
        <v>592</v>
      </c>
      <c r="O184" s="3" t="s">
        <v>44</v>
      </c>
      <c r="P184" s="15">
        <f t="shared" ca="1" si="4"/>
        <v>96</v>
      </c>
      <c r="Q184" s="3" t="str">
        <f t="shared" ca="1" si="5"/>
        <v>On Track</v>
      </c>
      <c r="R184" s="3"/>
      <c r="S184" s="3"/>
    </row>
    <row r="185" spans="1:19" ht="27" customHeight="1">
      <c r="A185" s="3" t="s">
        <v>620</v>
      </c>
      <c r="B185" s="3" t="s">
        <v>583</v>
      </c>
      <c r="C185" s="3">
        <v>15</v>
      </c>
      <c r="D185" s="3" t="s">
        <v>87</v>
      </c>
      <c r="E185" s="3" t="s">
        <v>621</v>
      </c>
      <c r="F185" s="3" t="s">
        <v>622</v>
      </c>
      <c r="G185" s="6">
        <v>46349</v>
      </c>
      <c r="H185" s="6">
        <v>46355</v>
      </c>
      <c r="I185" s="3" t="s">
        <v>42</v>
      </c>
      <c r="J185" s="3" t="s">
        <v>43</v>
      </c>
      <c r="K185" s="9">
        <v>0</v>
      </c>
      <c r="L185" s="12">
        <v>5</v>
      </c>
      <c r="M185" s="12">
        <v>0</v>
      </c>
      <c r="N185" s="3" t="s">
        <v>384</v>
      </c>
      <c r="O185" s="3" t="s">
        <v>44</v>
      </c>
      <c r="P185" s="15">
        <f t="shared" ca="1" si="4"/>
        <v>103</v>
      </c>
      <c r="Q185" s="3" t="str">
        <f t="shared" ca="1" si="5"/>
        <v>On Track</v>
      </c>
      <c r="R185" s="3"/>
      <c r="S185" s="3"/>
    </row>
    <row r="186" spans="1:19" ht="27" customHeight="1">
      <c r="A186" s="3" t="s">
        <v>623</v>
      </c>
      <c r="B186" s="3" t="s">
        <v>583</v>
      </c>
      <c r="C186" s="3">
        <v>15</v>
      </c>
      <c r="D186" s="3" t="s">
        <v>87</v>
      </c>
      <c r="E186" s="3" t="s">
        <v>624</v>
      </c>
      <c r="F186" s="3" t="s">
        <v>625</v>
      </c>
      <c r="G186" s="6">
        <v>46349</v>
      </c>
      <c r="H186" s="6">
        <v>46355</v>
      </c>
      <c r="I186" s="3" t="s">
        <v>42</v>
      </c>
      <c r="J186" s="3" t="s">
        <v>43</v>
      </c>
      <c r="K186" s="9">
        <v>0</v>
      </c>
      <c r="L186" s="12">
        <v>5</v>
      </c>
      <c r="M186" s="12">
        <v>0</v>
      </c>
      <c r="N186" s="3" t="s">
        <v>466</v>
      </c>
      <c r="O186" s="3" t="s">
        <v>44</v>
      </c>
      <c r="P186" s="15">
        <f t="shared" ca="1" si="4"/>
        <v>103</v>
      </c>
      <c r="Q186" s="3" t="str">
        <f t="shared" ca="1" si="5"/>
        <v>On Track</v>
      </c>
      <c r="R186" s="3"/>
      <c r="S186" s="3"/>
    </row>
    <row r="187" spans="1:19" ht="27" customHeight="1">
      <c r="A187" s="3" t="s">
        <v>626</v>
      </c>
      <c r="B187" s="3" t="s">
        <v>583</v>
      </c>
      <c r="C187" s="3">
        <v>15</v>
      </c>
      <c r="D187" s="3" t="s">
        <v>87</v>
      </c>
      <c r="E187" s="3" t="s">
        <v>627</v>
      </c>
      <c r="F187" s="3" t="s">
        <v>628</v>
      </c>
      <c r="G187" s="6">
        <v>46349</v>
      </c>
      <c r="H187" s="6">
        <v>46355</v>
      </c>
      <c r="I187" s="3" t="s">
        <v>42</v>
      </c>
      <c r="J187" s="3" t="s">
        <v>43</v>
      </c>
      <c r="K187" s="9">
        <v>0</v>
      </c>
      <c r="L187" s="12">
        <v>5</v>
      </c>
      <c r="M187" s="12">
        <v>0</v>
      </c>
      <c r="N187" s="3" t="s">
        <v>623</v>
      </c>
      <c r="O187" s="3" t="s">
        <v>44</v>
      </c>
      <c r="P187" s="15">
        <f t="shared" ca="1" si="4"/>
        <v>103</v>
      </c>
      <c r="Q187" s="3" t="str">
        <f t="shared" ca="1" si="5"/>
        <v>On Track</v>
      </c>
      <c r="R187" s="3"/>
      <c r="S187" s="3"/>
    </row>
    <row r="188" spans="1:19" ht="27" customHeight="1">
      <c r="A188" s="3" t="s">
        <v>629</v>
      </c>
      <c r="B188" s="3" t="s">
        <v>583</v>
      </c>
      <c r="C188" s="3">
        <v>15</v>
      </c>
      <c r="D188" s="3" t="s">
        <v>87</v>
      </c>
      <c r="E188" s="3" t="s">
        <v>630</v>
      </c>
      <c r="F188" s="3" t="s">
        <v>631</v>
      </c>
      <c r="G188" s="6">
        <v>46349</v>
      </c>
      <c r="H188" s="6">
        <v>46355</v>
      </c>
      <c r="I188" s="3" t="s">
        <v>42</v>
      </c>
      <c r="J188" s="3" t="s">
        <v>43</v>
      </c>
      <c r="K188" s="9">
        <v>0</v>
      </c>
      <c r="L188" s="12">
        <v>4</v>
      </c>
      <c r="M188" s="12">
        <v>0</v>
      </c>
      <c r="N188" s="3" t="s">
        <v>573</v>
      </c>
      <c r="O188" s="3" t="s">
        <v>44</v>
      </c>
      <c r="P188" s="15">
        <f t="shared" ca="1" si="4"/>
        <v>103</v>
      </c>
      <c r="Q188" s="3" t="str">
        <f t="shared" ca="1" si="5"/>
        <v>On Track</v>
      </c>
      <c r="R188" s="3"/>
      <c r="S188" s="3"/>
    </row>
    <row r="189" spans="1:19" ht="27" customHeight="1">
      <c r="A189" s="3" t="s">
        <v>632</v>
      </c>
      <c r="B189" s="3" t="s">
        <v>583</v>
      </c>
      <c r="C189" s="3">
        <v>15</v>
      </c>
      <c r="D189" s="3" t="s">
        <v>87</v>
      </c>
      <c r="E189" s="3" t="s">
        <v>633</v>
      </c>
      <c r="F189" s="3" t="s">
        <v>634</v>
      </c>
      <c r="G189" s="6">
        <v>46349</v>
      </c>
      <c r="H189" s="6">
        <v>46355</v>
      </c>
      <c r="I189" s="3" t="s">
        <v>42</v>
      </c>
      <c r="J189" s="3" t="s">
        <v>43</v>
      </c>
      <c r="K189" s="9">
        <v>0</v>
      </c>
      <c r="L189" s="12">
        <v>3</v>
      </c>
      <c r="M189" s="12">
        <v>0</v>
      </c>
      <c r="N189" s="3" t="s">
        <v>225</v>
      </c>
      <c r="O189" s="3" t="s">
        <v>44</v>
      </c>
      <c r="P189" s="15">
        <f t="shared" ca="1" si="4"/>
        <v>103</v>
      </c>
      <c r="Q189" s="3" t="str">
        <f t="shared" ca="1" si="5"/>
        <v>On Track</v>
      </c>
      <c r="R189" s="3"/>
      <c r="S189" s="3"/>
    </row>
    <row r="190" spans="1:19" ht="27" customHeight="1">
      <c r="A190" s="3" t="s">
        <v>635</v>
      </c>
      <c r="B190" s="3" t="s">
        <v>583</v>
      </c>
      <c r="C190" s="3">
        <v>15</v>
      </c>
      <c r="D190" s="3" t="s">
        <v>87</v>
      </c>
      <c r="E190" s="3" t="s">
        <v>636</v>
      </c>
      <c r="F190" s="3" t="s">
        <v>637</v>
      </c>
      <c r="G190" s="6">
        <v>46349</v>
      </c>
      <c r="H190" s="6">
        <v>46355</v>
      </c>
      <c r="I190" s="3" t="s">
        <v>42</v>
      </c>
      <c r="J190" s="3" t="s">
        <v>43</v>
      </c>
      <c r="K190" s="9">
        <v>0</v>
      </c>
      <c r="L190" s="12">
        <v>3</v>
      </c>
      <c r="M190" s="12">
        <v>0</v>
      </c>
      <c r="N190" s="3" t="s">
        <v>466</v>
      </c>
      <c r="O190" s="3" t="s">
        <v>44</v>
      </c>
      <c r="P190" s="15">
        <f t="shared" ca="1" si="4"/>
        <v>103</v>
      </c>
      <c r="Q190" s="3" t="str">
        <f t="shared" ca="1" si="5"/>
        <v>On Track</v>
      </c>
      <c r="R190" s="3"/>
      <c r="S190" s="3"/>
    </row>
    <row r="191" spans="1:19" ht="27" customHeight="1">
      <c r="A191" s="3" t="s">
        <v>638</v>
      </c>
      <c r="B191" s="3" t="s">
        <v>583</v>
      </c>
      <c r="C191" s="3">
        <v>15</v>
      </c>
      <c r="D191" s="3" t="s">
        <v>268</v>
      </c>
      <c r="E191" s="3" t="s">
        <v>639</v>
      </c>
      <c r="F191" s="3" t="s">
        <v>640</v>
      </c>
      <c r="G191" s="6">
        <v>46349</v>
      </c>
      <c r="H191" s="6">
        <v>46355</v>
      </c>
      <c r="I191" s="3" t="s">
        <v>42</v>
      </c>
      <c r="J191" s="3" t="s">
        <v>43</v>
      </c>
      <c r="K191" s="9">
        <v>0</v>
      </c>
      <c r="L191" s="12">
        <v>4</v>
      </c>
      <c r="M191" s="12">
        <v>0</v>
      </c>
      <c r="N191" s="3" t="s">
        <v>213</v>
      </c>
      <c r="O191" s="3" t="s">
        <v>44</v>
      </c>
      <c r="P191" s="15">
        <f t="shared" ca="1" si="4"/>
        <v>103</v>
      </c>
      <c r="Q191" s="3" t="str">
        <f t="shared" ca="1" si="5"/>
        <v>On Track</v>
      </c>
      <c r="R191" s="3"/>
      <c r="S191" s="3"/>
    </row>
    <row r="192" spans="1:19" ht="27" customHeight="1">
      <c r="A192" s="3" t="s">
        <v>641</v>
      </c>
      <c r="B192" s="3" t="s">
        <v>583</v>
      </c>
      <c r="C192" s="3">
        <v>15</v>
      </c>
      <c r="D192" s="3" t="s">
        <v>268</v>
      </c>
      <c r="E192" s="3" t="s">
        <v>642</v>
      </c>
      <c r="F192" s="3" t="s">
        <v>643</v>
      </c>
      <c r="G192" s="6">
        <v>46349</v>
      </c>
      <c r="H192" s="6">
        <v>46355</v>
      </c>
      <c r="I192" s="3" t="s">
        <v>42</v>
      </c>
      <c r="J192" s="3" t="s">
        <v>43</v>
      </c>
      <c r="K192" s="9">
        <v>0</v>
      </c>
      <c r="L192" s="12">
        <v>4</v>
      </c>
      <c r="M192" s="12">
        <v>0</v>
      </c>
      <c r="N192" s="3" t="s">
        <v>579</v>
      </c>
      <c r="O192" s="3" t="s">
        <v>44</v>
      </c>
      <c r="P192" s="15">
        <f t="shared" ca="1" si="4"/>
        <v>103</v>
      </c>
      <c r="Q192" s="3" t="str">
        <f t="shared" ca="1" si="5"/>
        <v>On Track</v>
      </c>
      <c r="R192" s="3"/>
      <c r="S192" s="3"/>
    </row>
    <row r="193" spans="1:19" ht="27" customHeight="1">
      <c r="A193" s="3" t="s">
        <v>644</v>
      </c>
      <c r="B193" s="3" t="s">
        <v>583</v>
      </c>
      <c r="C193" s="3">
        <v>15</v>
      </c>
      <c r="D193" s="3" t="s">
        <v>192</v>
      </c>
      <c r="E193" s="3" t="s">
        <v>645</v>
      </c>
      <c r="F193" s="3" t="s">
        <v>646</v>
      </c>
      <c r="G193" s="6">
        <v>46349</v>
      </c>
      <c r="H193" s="6">
        <v>46355</v>
      </c>
      <c r="I193" s="3" t="s">
        <v>42</v>
      </c>
      <c r="J193" s="3" t="s">
        <v>43</v>
      </c>
      <c r="K193" s="9">
        <v>0</v>
      </c>
      <c r="L193" s="12">
        <v>5</v>
      </c>
      <c r="M193" s="12">
        <v>0</v>
      </c>
      <c r="N193" s="3" t="s">
        <v>582</v>
      </c>
      <c r="O193" s="3" t="s">
        <v>44</v>
      </c>
      <c r="P193" s="15">
        <f t="shared" ca="1" si="4"/>
        <v>103</v>
      </c>
      <c r="Q193" s="3" t="str">
        <f t="shared" ca="1" si="5"/>
        <v>On Track</v>
      </c>
      <c r="R193" s="3"/>
      <c r="S193" s="3"/>
    </row>
    <row r="194" spans="1:19" ht="27" customHeight="1">
      <c r="A194" s="3" t="s">
        <v>647</v>
      </c>
      <c r="B194" s="3" t="s">
        <v>583</v>
      </c>
      <c r="C194" s="3">
        <v>15</v>
      </c>
      <c r="D194" s="3" t="s">
        <v>192</v>
      </c>
      <c r="E194" s="3" t="s">
        <v>648</v>
      </c>
      <c r="F194" s="3" t="s">
        <v>649</v>
      </c>
      <c r="G194" s="6">
        <v>46349</v>
      </c>
      <c r="H194" s="6">
        <v>46355</v>
      </c>
      <c r="I194" s="3" t="s">
        <v>42</v>
      </c>
      <c r="J194" s="3" t="s">
        <v>43</v>
      </c>
      <c r="K194" s="9">
        <v>0</v>
      </c>
      <c r="L194" s="12">
        <v>5</v>
      </c>
      <c r="M194" s="12">
        <v>0</v>
      </c>
      <c r="N194" s="3" t="s">
        <v>582</v>
      </c>
      <c r="O194" s="3" t="s">
        <v>44</v>
      </c>
      <c r="P194" s="15">
        <f t="shared" ca="1" si="4"/>
        <v>103</v>
      </c>
      <c r="Q194" s="3" t="str">
        <f t="shared" ca="1" si="5"/>
        <v>On Track</v>
      </c>
      <c r="R194" s="3"/>
      <c r="S194" s="3"/>
    </row>
    <row r="195" spans="1:19" ht="27" customHeight="1">
      <c r="A195" s="3" t="s">
        <v>650</v>
      </c>
      <c r="B195" s="3" t="s">
        <v>583</v>
      </c>
      <c r="C195" s="3">
        <v>15</v>
      </c>
      <c r="D195" s="3" t="s">
        <v>192</v>
      </c>
      <c r="E195" s="3" t="s">
        <v>651</v>
      </c>
      <c r="F195" s="3" t="s">
        <v>652</v>
      </c>
      <c r="G195" s="6">
        <v>46349</v>
      </c>
      <c r="H195" s="6">
        <v>46355</v>
      </c>
      <c r="I195" s="3" t="s">
        <v>49</v>
      </c>
      <c r="J195" s="3" t="s">
        <v>43</v>
      </c>
      <c r="K195" s="9">
        <v>0</v>
      </c>
      <c r="L195" s="12">
        <v>5</v>
      </c>
      <c r="M195" s="12">
        <v>0</v>
      </c>
      <c r="N195" s="3" t="s">
        <v>617</v>
      </c>
      <c r="O195" s="3" t="s">
        <v>44</v>
      </c>
      <c r="P195" s="15">
        <f t="shared" ca="1" si="4"/>
        <v>103</v>
      </c>
      <c r="Q195" s="3" t="str">
        <f t="shared" ca="1" si="5"/>
        <v>On Track</v>
      </c>
      <c r="R195" s="3"/>
      <c r="S195" s="3"/>
    </row>
    <row r="196" spans="1:19" ht="27" customHeight="1">
      <c r="A196" s="3" t="s">
        <v>653</v>
      </c>
      <c r="B196" s="3" t="s">
        <v>583</v>
      </c>
      <c r="C196" s="3">
        <v>15</v>
      </c>
      <c r="D196" s="3" t="s">
        <v>46</v>
      </c>
      <c r="E196" s="3" t="s">
        <v>654</v>
      </c>
      <c r="F196" s="3" t="s">
        <v>655</v>
      </c>
      <c r="G196" s="6">
        <v>46349</v>
      </c>
      <c r="H196" s="6">
        <v>46355</v>
      </c>
      <c r="I196" s="3" t="s">
        <v>42</v>
      </c>
      <c r="J196" s="3" t="s">
        <v>43</v>
      </c>
      <c r="K196" s="9">
        <v>0</v>
      </c>
      <c r="L196" s="12">
        <v>4</v>
      </c>
      <c r="M196" s="12">
        <v>0</v>
      </c>
      <c r="N196" s="3" t="s">
        <v>620</v>
      </c>
      <c r="O196" s="3" t="s">
        <v>44</v>
      </c>
      <c r="P196" s="15">
        <f t="shared" ca="1" si="4"/>
        <v>103</v>
      </c>
      <c r="Q196" s="3" t="str">
        <f t="shared" ca="1" si="5"/>
        <v>On Track</v>
      </c>
      <c r="R196" s="3"/>
      <c r="S196" s="3"/>
    </row>
    <row r="197" spans="1:19" ht="27" customHeight="1">
      <c r="A197" s="3" t="s">
        <v>656</v>
      </c>
      <c r="B197" s="3" t="s">
        <v>583</v>
      </c>
      <c r="C197" s="3">
        <v>15</v>
      </c>
      <c r="D197" s="3" t="s">
        <v>46</v>
      </c>
      <c r="E197" s="3" t="s">
        <v>657</v>
      </c>
      <c r="F197" s="3" t="s">
        <v>658</v>
      </c>
      <c r="G197" s="6">
        <v>46349</v>
      </c>
      <c r="H197" s="6">
        <v>46355</v>
      </c>
      <c r="I197" s="3" t="s">
        <v>49</v>
      </c>
      <c r="J197" s="3" t="s">
        <v>43</v>
      </c>
      <c r="K197" s="9">
        <v>0</v>
      </c>
      <c r="L197" s="12">
        <v>4</v>
      </c>
      <c r="M197" s="12">
        <v>0</v>
      </c>
      <c r="N197" s="3" t="s">
        <v>638</v>
      </c>
      <c r="O197" s="3" t="s">
        <v>44</v>
      </c>
      <c r="P197" s="15">
        <f t="shared" ca="1" si="4"/>
        <v>103</v>
      </c>
      <c r="Q197" s="3" t="str">
        <f t="shared" ca="1" si="5"/>
        <v>On Track</v>
      </c>
      <c r="R197" s="3"/>
      <c r="S197" s="3"/>
    </row>
    <row r="198" spans="1:19" ht="27" customHeight="1">
      <c r="A198" s="3" t="s">
        <v>659</v>
      </c>
      <c r="B198" s="3" t="s">
        <v>583</v>
      </c>
      <c r="C198" s="3">
        <v>15</v>
      </c>
      <c r="D198" s="3" t="s">
        <v>207</v>
      </c>
      <c r="E198" s="3" t="s">
        <v>660</v>
      </c>
      <c r="F198" s="3" t="s">
        <v>661</v>
      </c>
      <c r="G198" s="6">
        <v>46349</v>
      </c>
      <c r="H198" s="6">
        <v>46355</v>
      </c>
      <c r="I198" s="3" t="s">
        <v>42</v>
      </c>
      <c r="J198" s="3" t="s">
        <v>43</v>
      </c>
      <c r="K198" s="9">
        <v>0</v>
      </c>
      <c r="L198" s="12">
        <v>5</v>
      </c>
      <c r="M198" s="12">
        <v>0</v>
      </c>
      <c r="N198" s="3" t="s">
        <v>644</v>
      </c>
      <c r="O198" s="3" t="s">
        <v>44</v>
      </c>
      <c r="P198" s="15">
        <f t="shared" ref="P198:P212" ca="1" si="6">IF(OR(J198="Complete",J198="Deferred"),"",H198-TODAY())</f>
        <v>103</v>
      </c>
      <c r="Q198" s="3" t="str">
        <f t="shared" ref="Q198:Q212" ca="1" si="7">IF(J198="Complete","Complete",IF(J198="Deferred","Deferred",IF(J198="Blocked","Blocked",IF(H198&lt;TODAY(),"Overdue",IF(H198-TODAY()&lt;=3,"Due Soon","On Track")))))</f>
        <v>On Track</v>
      </c>
      <c r="R198" s="3"/>
      <c r="S198" s="3"/>
    </row>
    <row r="199" spans="1:19" ht="27" customHeight="1">
      <c r="A199" s="3" t="s">
        <v>662</v>
      </c>
      <c r="B199" s="3" t="s">
        <v>583</v>
      </c>
      <c r="C199" s="3">
        <v>16</v>
      </c>
      <c r="D199" s="3" t="s">
        <v>207</v>
      </c>
      <c r="E199" s="3" t="s">
        <v>663</v>
      </c>
      <c r="F199" s="3" t="s">
        <v>664</v>
      </c>
      <c r="G199" s="6">
        <v>46356</v>
      </c>
      <c r="H199" s="6">
        <v>46362</v>
      </c>
      <c r="I199" s="3" t="s">
        <v>42</v>
      </c>
      <c r="J199" s="3" t="s">
        <v>43</v>
      </c>
      <c r="K199" s="9">
        <v>0</v>
      </c>
      <c r="L199" s="12">
        <v>5</v>
      </c>
      <c r="M199" s="12">
        <v>0</v>
      </c>
      <c r="N199" s="3" t="s">
        <v>659</v>
      </c>
      <c r="O199" s="3" t="s">
        <v>44</v>
      </c>
      <c r="P199" s="15">
        <f t="shared" ca="1" si="6"/>
        <v>110</v>
      </c>
      <c r="Q199" s="3" t="str">
        <f t="shared" ca="1" si="7"/>
        <v>On Track</v>
      </c>
      <c r="R199" s="3"/>
      <c r="S199" s="3"/>
    </row>
    <row r="200" spans="1:19" ht="27" customHeight="1">
      <c r="A200" s="3" t="s">
        <v>665</v>
      </c>
      <c r="B200" s="3" t="s">
        <v>583</v>
      </c>
      <c r="C200" s="3">
        <v>16</v>
      </c>
      <c r="D200" s="3" t="s">
        <v>147</v>
      </c>
      <c r="E200" s="3" t="s">
        <v>666</v>
      </c>
      <c r="F200" s="3" t="s">
        <v>667</v>
      </c>
      <c r="G200" s="6">
        <v>46356</v>
      </c>
      <c r="H200" s="6">
        <v>46362</v>
      </c>
      <c r="I200" s="3" t="s">
        <v>49</v>
      </c>
      <c r="J200" s="3" t="s">
        <v>43</v>
      </c>
      <c r="K200" s="9">
        <v>0</v>
      </c>
      <c r="L200" s="12">
        <v>3</v>
      </c>
      <c r="M200" s="12">
        <v>0</v>
      </c>
      <c r="N200" s="3" t="s">
        <v>662</v>
      </c>
      <c r="O200" s="3" t="s">
        <v>44</v>
      </c>
      <c r="P200" s="15">
        <f t="shared" ca="1" si="6"/>
        <v>110</v>
      </c>
      <c r="Q200" s="3" t="str">
        <f t="shared" ca="1" si="7"/>
        <v>On Track</v>
      </c>
      <c r="R200" s="3"/>
      <c r="S200" s="3"/>
    </row>
    <row r="201" spans="1:19" ht="27" customHeight="1">
      <c r="A201" s="3" t="s">
        <v>668</v>
      </c>
      <c r="B201" s="3" t="s">
        <v>583</v>
      </c>
      <c r="C201" s="3">
        <v>16</v>
      </c>
      <c r="D201" s="3" t="s">
        <v>233</v>
      </c>
      <c r="E201" s="3" t="s">
        <v>669</v>
      </c>
      <c r="F201" s="3" t="s">
        <v>670</v>
      </c>
      <c r="G201" s="6">
        <v>46356</v>
      </c>
      <c r="H201" s="6">
        <v>46362</v>
      </c>
      <c r="I201" s="3" t="s">
        <v>49</v>
      </c>
      <c r="J201" s="3" t="s">
        <v>43</v>
      </c>
      <c r="K201" s="9">
        <v>0</v>
      </c>
      <c r="L201" s="12">
        <v>4</v>
      </c>
      <c r="M201" s="12">
        <v>0</v>
      </c>
      <c r="N201" s="3" t="s">
        <v>662</v>
      </c>
      <c r="O201" s="3" t="s">
        <v>44</v>
      </c>
      <c r="P201" s="15">
        <f t="shared" ca="1" si="6"/>
        <v>110</v>
      </c>
      <c r="Q201" s="3" t="str">
        <f t="shared" ca="1" si="7"/>
        <v>On Track</v>
      </c>
      <c r="R201" s="3"/>
      <c r="S201" s="3"/>
    </row>
    <row r="202" spans="1:19" ht="27" customHeight="1">
      <c r="A202" s="3" t="s">
        <v>671</v>
      </c>
      <c r="B202" s="3" t="s">
        <v>583</v>
      </c>
      <c r="C202" s="3">
        <v>16</v>
      </c>
      <c r="D202" s="3" t="s">
        <v>46</v>
      </c>
      <c r="E202" s="3" t="s">
        <v>672</v>
      </c>
      <c r="F202" s="3" t="s">
        <v>673</v>
      </c>
      <c r="G202" s="6">
        <v>46356</v>
      </c>
      <c r="H202" s="6">
        <v>46362</v>
      </c>
      <c r="I202" s="3" t="s">
        <v>42</v>
      </c>
      <c r="J202" s="3" t="s">
        <v>43</v>
      </c>
      <c r="K202" s="9">
        <v>0</v>
      </c>
      <c r="L202" s="12">
        <v>5</v>
      </c>
      <c r="M202" s="12">
        <v>0</v>
      </c>
      <c r="N202" s="3" t="s">
        <v>656</v>
      </c>
      <c r="O202" s="3" t="s">
        <v>44</v>
      </c>
      <c r="P202" s="15">
        <f t="shared" ca="1" si="6"/>
        <v>110</v>
      </c>
      <c r="Q202" s="3" t="str">
        <f t="shared" ca="1" si="7"/>
        <v>On Track</v>
      </c>
      <c r="R202" s="3"/>
      <c r="S202" s="3"/>
    </row>
    <row r="203" spans="1:19" ht="27" customHeight="1">
      <c r="A203" s="3" t="s">
        <v>674</v>
      </c>
      <c r="B203" s="3" t="s">
        <v>583</v>
      </c>
      <c r="C203" s="3">
        <v>16</v>
      </c>
      <c r="D203" s="3" t="s">
        <v>46</v>
      </c>
      <c r="E203" s="3" t="s">
        <v>675</v>
      </c>
      <c r="F203" s="3" t="s">
        <v>676</v>
      </c>
      <c r="G203" s="6">
        <v>46356</v>
      </c>
      <c r="H203" s="6">
        <v>46362</v>
      </c>
      <c r="I203" s="3" t="s">
        <v>42</v>
      </c>
      <c r="J203" s="3" t="s">
        <v>43</v>
      </c>
      <c r="K203" s="9">
        <v>0</v>
      </c>
      <c r="L203" s="12">
        <v>4</v>
      </c>
      <c r="M203" s="12">
        <v>0</v>
      </c>
      <c r="N203" s="3" t="s">
        <v>662</v>
      </c>
      <c r="O203" s="3" t="s">
        <v>44</v>
      </c>
      <c r="P203" s="15">
        <f t="shared" ca="1" si="6"/>
        <v>110</v>
      </c>
      <c r="Q203" s="3" t="str">
        <f t="shared" ca="1" si="7"/>
        <v>On Track</v>
      </c>
      <c r="R203" s="3"/>
      <c r="S203" s="3"/>
    </row>
    <row r="204" spans="1:19" ht="27" customHeight="1">
      <c r="A204" s="3" t="s">
        <v>677</v>
      </c>
      <c r="B204" s="3" t="s">
        <v>583</v>
      </c>
      <c r="C204" s="3">
        <v>16</v>
      </c>
      <c r="D204" s="3" t="s">
        <v>46</v>
      </c>
      <c r="E204" s="3" t="s">
        <v>678</v>
      </c>
      <c r="F204" s="3" t="s">
        <v>679</v>
      </c>
      <c r="G204" s="6">
        <v>46356</v>
      </c>
      <c r="H204" s="6">
        <v>46362</v>
      </c>
      <c r="I204" s="3" t="s">
        <v>42</v>
      </c>
      <c r="J204" s="3" t="s">
        <v>43</v>
      </c>
      <c r="K204" s="9">
        <v>0</v>
      </c>
      <c r="L204" s="12">
        <v>4</v>
      </c>
      <c r="M204" s="12">
        <v>0</v>
      </c>
      <c r="N204" s="3" t="s">
        <v>647</v>
      </c>
      <c r="O204" s="3" t="s">
        <v>44</v>
      </c>
      <c r="P204" s="15">
        <f t="shared" ca="1" si="6"/>
        <v>110</v>
      </c>
      <c r="Q204" s="3" t="str">
        <f t="shared" ca="1" si="7"/>
        <v>On Track</v>
      </c>
      <c r="R204" s="3"/>
      <c r="S204" s="3"/>
    </row>
    <row r="205" spans="1:19" ht="27" customHeight="1">
      <c r="A205" s="3" t="s">
        <v>680</v>
      </c>
      <c r="B205" s="3" t="s">
        <v>583</v>
      </c>
      <c r="C205" s="3">
        <v>16</v>
      </c>
      <c r="D205" s="3" t="s">
        <v>46</v>
      </c>
      <c r="E205" s="3" t="s">
        <v>681</v>
      </c>
      <c r="F205" s="3" t="s">
        <v>682</v>
      </c>
      <c r="G205" s="6">
        <v>46356</v>
      </c>
      <c r="H205" s="6">
        <v>46362</v>
      </c>
      <c r="I205" s="3" t="s">
        <v>42</v>
      </c>
      <c r="J205" s="3" t="s">
        <v>43</v>
      </c>
      <c r="K205" s="9">
        <v>0</v>
      </c>
      <c r="L205" s="12">
        <v>4</v>
      </c>
      <c r="M205" s="12">
        <v>0</v>
      </c>
      <c r="N205" s="3" t="s">
        <v>536</v>
      </c>
      <c r="O205" s="3" t="s">
        <v>44</v>
      </c>
      <c r="P205" s="15">
        <f t="shared" ca="1" si="6"/>
        <v>110</v>
      </c>
      <c r="Q205" s="3" t="str">
        <f t="shared" ca="1" si="7"/>
        <v>On Track</v>
      </c>
      <c r="R205" s="3"/>
      <c r="S205" s="3"/>
    </row>
    <row r="206" spans="1:19" ht="27" customHeight="1">
      <c r="A206" s="3" t="s">
        <v>683</v>
      </c>
      <c r="B206" s="3" t="s">
        <v>583</v>
      </c>
      <c r="C206" s="3">
        <v>16</v>
      </c>
      <c r="D206" s="3" t="s">
        <v>46</v>
      </c>
      <c r="E206" s="3" t="s">
        <v>684</v>
      </c>
      <c r="F206" s="3" t="s">
        <v>685</v>
      </c>
      <c r="G206" s="6">
        <v>46356</v>
      </c>
      <c r="H206" s="6">
        <v>46362</v>
      </c>
      <c r="I206" s="3" t="s">
        <v>49</v>
      </c>
      <c r="J206" s="3" t="s">
        <v>43</v>
      </c>
      <c r="K206" s="9">
        <v>0</v>
      </c>
      <c r="L206" s="12">
        <v>3</v>
      </c>
      <c r="M206" s="12">
        <v>0</v>
      </c>
      <c r="N206" s="3" t="s">
        <v>463</v>
      </c>
      <c r="O206" s="3" t="s">
        <v>44</v>
      </c>
      <c r="P206" s="15">
        <f t="shared" ca="1" si="6"/>
        <v>110</v>
      </c>
      <c r="Q206" s="3" t="str">
        <f t="shared" ca="1" si="7"/>
        <v>On Track</v>
      </c>
      <c r="R206" s="3"/>
      <c r="S206" s="3"/>
    </row>
    <row r="207" spans="1:19" ht="27" customHeight="1">
      <c r="A207" s="3" t="s">
        <v>686</v>
      </c>
      <c r="B207" s="3" t="s">
        <v>583</v>
      </c>
      <c r="C207" s="3">
        <v>16</v>
      </c>
      <c r="D207" s="3" t="s">
        <v>687</v>
      </c>
      <c r="E207" s="3" t="s">
        <v>688</v>
      </c>
      <c r="F207" s="3" t="s">
        <v>689</v>
      </c>
      <c r="G207" s="6">
        <v>46356</v>
      </c>
      <c r="H207" s="6">
        <v>46362</v>
      </c>
      <c r="I207" s="3" t="s">
        <v>49</v>
      </c>
      <c r="J207" s="3" t="s">
        <v>43</v>
      </c>
      <c r="K207" s="9">
        <v>0</v>
      </c>
      <c r="L207" s="12">
        <v>3</v>
      </c>
      <c r="M207" s="12">
        <v>0</v>
      </c>
      <c r="N207" s="3" t="s">
        <v>671</v>
      </c>
      <c r="O207" s="3" t="s">
        <v>44</v>
      </c>
      <c r="P207" s="15">
        <f t="shared" ca="1" si="6"/>
        <v>110</v>
      </c>
      <c r="Q207" s="3" t="str">
        <f t="shared" ca="1" si="7"/>
        <v>On Track</v>
      </c>
      <c r="R207" s="3"/>
      <c r="S207" s="3"/>
    </row>
    <row r="208" spans="1:19" ht="27" customHeight="1">
      <c r="A208" s="3" t="s">
        <v>690</v>
      </c>
      <c r="B208" s="3" t="s">
        <v>583</v>
      </c>
      <c r="C208" s="3">
        <v>16</v>
      </c>
      <c r="D208" s="3" t="s">
        <v>687</v>
      </c>
      <c r="E208" s="3" t="s">
        <v>691</v>
      </c>
      <c r="F208" s="3" t="s">
        <v>692</v>
      </c>
      <c r="G208" s="6">
        <v>46356</v>
      </c>
      <c r="H208" s="6">
        <v>46362</v>
      </c>
      <c r="I208" s="3" t="s">
        <v>49</v>
      </c>
      <c r="J208" s="3" t="s">
        <v>43</v>
      </c>
      <c r="K208" s="9">
        <v>0</v>
      </c>
      <c r="L208" s="12">
        <v>3</v>
      </c>
      <c r="M208" s="12">
        <v>0</v>
      </c>
      <c r="N208" s="3" t="s">
        <v>662</v>
      </c>
      <c r="O208" s="3" t="s">
        <v>44</v>
      </c>
      <c r="P208" s="15">
        <f t="shared" ca="1" si="6"/>
        <v>110</v>
      </c>
      <c r="Q208" s="3" t="str">
        <f t="shared" ca="1" si="7"/>
        <v>On Track</v>
      </c>
      <c r="R208" s="3"/>
      <c r="S208" s="3"/>
    </row>
    <row r="209" spans="1:19" ht="27" customHeight="1">
      <c r="A209" s="3" t="s">
        <v>693</v>
      </c>
      <c r="B209" s="3" t="s">
        <v>583</v>
      </c>
      <c r="C209" s="3">
        <v>16</v>
      </c>
      <c r="D209" s="3" t="s">
        <v>687</v>
      </c>
      <c r="E209" s="3" t="s">
        <v>694</v>
      </c>
      <c r="F209" s="3" t="s">
        <v>695</v>
      </c>
      <c r="G209" s="6">
        <v>46356</v>
      </c>
      <c r="H209" s="6">
        <v>46362</v>
      </c>
      <c r="I209" s="3" t="s">
        <v>42</v>
      </c>
      <c r="J209" s="3" t="s">
        <v>43</v>
      </c>
      <c r="K209" s="9">
        <v>0</v>
      </c>
      <c r="L209" s="12">
        <v>5</v>
      </c>
      <c r="M209" s="12">
        <v>0</v>
      </c>
      <c r="N209" s="3" t="s">
        <v>690</v>
      </c>
      <c r="O209" s="3" t="s">
        <v>44</v>
      </c>
      <c r="P209" s="15">
        <f t="shared" ca="1" si="6"/>
        <v>110</v>
      </c>
      <c r="Q209" s="3" t="str">
        <f t="shared" ca="1" si="7"/>
        <v>On Track</v>
      </c>
      <c r="R209" s="3"/>
      <c r="S209" s="3"/>
    </row>
    <row r="210" spans="1:19" ht="27" customHeight="1">
      <c r="A210" s="3" t="s">
        <v>696</v>
      </c>
      <c r="B210" s="3" t="s">
        <v>583</v>
      </c>
      <c r="C210" s="3">
        <v>16</v>
      </c>
      <c r="D210" s="3" t="s">
        <v>687</v>
      </c>
      <c r="E210" s="3" t="s">
        <v>697</v>
      </c>
      <c r="F210" s="3" t="s">
        <v>698</v>
      </c>
      <c r="G210" s="6">
        <v>46356</v>
      </c>
      <c r="H210" s="6">
        <v>46362</v>
      </c>
      <c r="I210" s="3" t="s">
        <v>49</v>
      </c>
      <c r="J210" s="3" t="s">
        <v>43</v>
      </c>
      <c r="K210" s="9">
        <v>0</v>
      </c>
      <c r="L210" s="12">
        <v>2</v>
      </c>
      <c r="M210" s="12">
        <v>0</v>
      </c>
      <c r="N210" s="3" t="s">
        <v>671</v>
      </c>
      <c r="O210" s="3" t="s">
        <v>44</v>
      </c>
      <c r="P210" s="15">
        <f t="shared" ca="1" si="6"/>
        <v>110</v>
      </c>
      <c r="Q210" s="3" t="str">
        <f t="shared" ca="1" si="7"/>
        <v>On Track</v>
      </c>
      <c r="R210" s="3"/>
      <c r="S210" s="3"/>
    </row>
    <row r="211" spans="1:19" ht="27" customHeight="1">
      <c r="A211" s="3" t="s">
        <v>699</v>
      </c>
      <c r="B211" s="3" t="s">
        <v>583</v>
      </c>
      <c r="C211" s="3">
        <v>16</v>
      </c>
      <c r="D211" s="3" t="s">
        <v>687</v>
      </c>
      <c r="E211" s="3" t="s">
        <v>700</v>
      </c>
      <c r="F211" s="3" t="s">
        <v>701</v>
      </c>
      <c r="G211" s="6">
        <v>46356</v>
      </c>
      <c r="H211" s="6">
        <v>46362</v>
      </c>
      <c r="I211" s="3" t="s">
        <v>42</v>
      </c>
      <c r="J211" s="3" t="s">
        <v>43</v>
      </c>
      <c r="K211" s="9">
        <v>0</v>
      </c>
      <c r="L211" s="12">
        <v>5</v>
      </c>
      <c r="M211" s="12">
        <v>0</v>
      </c>
      <c r="N211" s="3" t="s">
        <v>686</v>
      </c>
      <c r="O211" s="3" t="s">
        <v>44</v>
      </c>
      <c r="P211" s="15">
        <f t="shared" ca="1" si="6"/>
        <v>110</v>
      </c>
      <c r="Q211" s="3" t="str">
        <f t="shared" ca="1" si="7"/>
        <v>On Track</v>
      </c>
      <c r="R211" s="3"/>
      <c r="S211" s="3"/>
    </row>
    <row r="212" spans="1:19" ht="27" customHeight="1">
      <c r="A212" s="4" t="s">
        <v>702</v>
      </c>
      <c r="B212" s="4" t="s">
        <v>583</v>
      </c>
      <c r="C212" s="4">
        <v>16</v>
      </c>
      <c r="D212" s="4" t="s">
        <v>39</v>
      </c>
      <c r="E212" s="4" t="s">
        <v>703</v>
      </c>
      <c r="F212" s="4" t="s">
        <v>704</v>
      </c>
      <c r="G212" s="7">
        <v>46356</v>
      </c>
      <c r="H212" s="7">
        <v>46362</v>
      </c>
      <c r="I212" s="4" t="s">
        <v>42</v>
      </c>
      <c r="J212" s="4" t="s">
        <v>43</v>
      </c>
      <c r="K212" s="10">
        <v>0</v>
      </c>
      <c r="L212" s="13">
        <v>3</v>
      </c>
      <c r="M212" s="13">
        <v>0</v>
      </c>
      <c r="N212" s="4" t="s">
        <v>699</v>
      </c>
      <c r="O212" s="4" t="s">
        <v>44</v>
      </c>
      <c r="P212" s="16">
        <f t="shared" ca="1" si="6"/>
        <v>110</v>
      </c>
      <c r="Q212" s="4" t="str">
        <f t="shared" ca="1" si="7"/>
        <v>On Track</v>
      </c>
      <c r="R212" s="4"/>
      <c r="S212" s="4"/>
    </row>
  </sheetData>
  <mergeCells count="2">
    <mergeCell ref="A1:S2"/>
    <mergeCell ref="A3:S3"/>
  </mergeCells>
  <conditionalFormatting sqref="J6:J212">
    <cfRule type="containsText" dxfId="18" priority="2" operator="containsText" text="Complete"/>
    <cfRule type="containsText" dxfId="17" priority="3" operator="containsText" text="In Progress"/>
    <cfRule type="containsText" dxfId="16" priority="4" operator="containsText" text="Blocked"/>
    <cfRule type="containsText" dxfId="15" priority="5" operator="containsText" text="Ready for Review"/>
    <cfRule type="containsText" dxfId="14" priority="6" operator="containsText" text="Deferred"/>
  </conditionalFormatting>
  <conditionalFormatting sqref="K6:K212">
    <cfRule type="dataBar" priority="1">
      <dataBar>
        <cfvo type="min"/>
        <cfvo type="max"/>
        <color rgb="FFB3202E"/>
      </dataBar>
    </cfRule>
    <cfRule type="dataBar" priority="12">
      <dataBar>
        <cfvo type="min"/>
        <cfvo type="max"/>
        <color rgb="FFB3202E"/>
      </dataBar>
      <extLst>
        <ext xmlns:x14="http://schemas.microsoft.com/office/spreadsheetml/2009/9/main" uri="{B025F937-C7B1-47D3-B67F-A62EFF666E3E}">
          <x14:id>{7A1FB9DA-A605-5914-0D4E-AB76FA109C93}</x14:id>
        </ext>
      </extLst>
    </cfRule>
  </conditionalFormatting>
  <conditionalFormatting sqref="Q6:Q212">
    <cfRule type="containsText" dxfId="13" priority="7" operator="containsText" text="Complete"/>
    <cfRule type="containsText" dxfId="12" priority="8" operator="containsText" text="Overdue"/>
    <cfRule type="containsText" dxfId="11" priority="9" operator="containsText" text="Due Soon"/>
    <cfRule type="containsText" dxfId="10" priority="10" operator="containsText" text="Blocked"/>
    <cfRule type="containsText" dxfId="9" priority="11" operator="containsText" text="On Track"/>
  </conditionalFormatting>
  <dataValidations count="4">
    <dataValidation type="list" sqref="I6:I212" xr:uid="{00000000-0002-0000-0100-000000000000}">
      <formula1>"Critical,High,Medium,Low"</formula1>
    </dataValidation>
    <dataValidation type="list" sqref="J6:J212" xr:uid="{00000000-0002-0000-0100-000001000000}">
      <formula1>"Not Started,In Progress,Blocked,Ready for Review,Complete,Deferred"</formula1>
    </dataValidation>
    <dataValidation type="decimal" sqref="K6:K212" xr:uid="{00000000-0002-0000-0100-000002000000}">
      <formula1>0</formula1>
      <formula2>1</formula2>
    </dataValidation>
    <dataValidation type="list" sqref="O6:O212" xr:uid="{00000000-0002-0000-0100-000003000000}">
      <formula1>"Finlay,Unassigned"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A1FB9DA-A605-5914-0D4E-AB76FA109C93}">
            <x14:dataBar>
              <x14:cfvo type="min"/>
              <x14:cfvo type="max"/>
              <x14:negativeFillColor auto="1"/>
              <x14:axisColor auto="1"/>
            </x14:dataBar>
          </x14:cfRule>
          <xm:sqref>K6:K212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1"/>
  <sheetViews>
    <sheetView showGridLines="0" workbookViewId="0">
      <selection activeCell="L6" sqref="L6"/>
    </sheetView>
  </sheetViews>
  <sheetFormatPr defaultRowHeight="14.25"/>
  <cols>
    <col min="1" max="1" width="7" customWidth="1"/>
    <col min="2" max="3" width="13" customWidth="1"/>
    <col min="4" max="4" width="25" customWidth="1"/>
    <col min="5" max="5" width="48" customWidth="1"/>
    <col min="6" max="6" width="14" customWidth="1"/>
    <col min="7" max="7" width="11" customWidth="1"/>
    <col min="8" max="8" width="14" customWidth="1"/>
    <col min="9" max="9" width="13" customWidth="1"/>
    <col min="10" max="10" width="15" customWidth="1"/>
    <col min="11" max="12" width="13" customWidth="1"/>
    <col min="13" max="13" width="14" customWidth="1"/>
    <col min="14" max="14" width="36" customWidth="1"/>
  </cols>
  <sheetData>
    <row r="1" spans="1:14" ht="27" customHeight="1">
      <c r="A1" s="33" t="s">
        <v>705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</row>
    <row r="2" spans="1:14" ht="27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</row>
    <row r="3" spans="1:14" ht="33.950000000000003" customHeight="1">
      <c r="A3" s="34" t="s">
        <v>706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</row>
    <row r="5" spans="1:14" ht="30" customHeight="1">
      <c r="A5" s="1" t="s">
        <v>11</v>
      </c>
      <c r="B5" s="1" t="s">
        <v>707</v>
      </c>
      <c r="C5" s="1" t="s">
        <v>708</v>
      </c>
      <c r="D5" s="1" t="s">
        <v>12</v>
      </c>
      <c r="E5" s="1" t="s">
        <v>709</v>
      </c>
      <c r="F5" s="1" t="s">
        <v>13</v>
      </c>
      <c r="G5" s="1" t="s">
        <v>6</v>
      </c>
      <c r="H5" s="1" t="s">
        <v>710</v>
      </c>
      <c r="I5" s="1" t="s">
        <v>8</v>
      </c>
      <c r="J5" s="1" t="s">
        <v>711</v>
      </c>
      <c r="K5" s="1" t="s">
        <v>712</v>
      </c>
      <c r="L5" s="1" t="s">
        <v>30</v>
      </c>
      <c r="M5" s="1" t="s">
        <v>713</v>
      </c>
      <c r="N5" s="1" t="s">
        <v>714</v>
      </c>
    </row>
    <row r="6" spans="1:14" ht="27" customHeight="1">
      <c r="A6" s="2">
        <v>1</v>
      </c>
      <c r="B6" s="5">
        <v>46252</v>
      </c>
      <c r="C6" s="5">
        <v>46257</v>
      </c>
      <c r="D6" s="2" t="s">
        <v>715</v>
      </c>
      <c r="E6" s="2" t="s">
        <v>716</v>
      </c>
      <c r="F6" s="2">
        <f>COUNTIF('Task Tracker'!$C$6:$C$212,A6)</f>
        <v>17</v>
      </c>
      <c r="G6" s="2">
        <f>COUNTIFS('Task Tracker'!$C$6:$C$212,A6,'Task Tracker'!$J$6:$J$212,"Complete")</f>
        <v>2</v>
      </c>
      <c r="H6" s="8">
        <f t="shared" ref="H6:H21" si="0">IF(F6=0,0,G6/F6)</f>
        <v>0.11764705882352941</v>
      </c>
      <c r="I6" s="11">
        <f>SUMIF('Task Tracker'!$C$6:$C$212,A6,'Task Tracker'!$L$6:$L$212)</f>
        <v>36</v>
      </c>
      <c r="J6" s="11">
        <v>20</v>
      </c>
      <c r="K6" s="11">
        <f t="shared" ref="K6:K21" si="1">J6-I6</f>
        <v>-16</v>
      </c>
      <c r="L6" s="11">
        <f>SUMIF('Task Tracker'!$C$6:$C$212,A6,'Task Tracker'!$M$6:$M$212)</f>
        <v>2</v>
      </c>
      <c r="M6" s="11">
        <f t="shared" ref="M6:M21" si="2">L6-I6</f>
        <v>-34</v>
      </c>
      <c r="N6" s="2"/>
    </row>
    <row r="7" spans="1:14" ht="27" customHeight="1">
      <c r="A7" s="3">
        <v>2</v>
      </c>
      <c r="B7" s="6">
        <v>46258</v>
      </c>
      <c r="C7" s="6">
        <v>46264</v>
      </c>
      <c r="D7" s="3" t="s">
        <v>717</v>
      </c>
      <c r="E7" s="3" t="s">
        <v>718</v>
      </c>
      <c r="F7" s="3">
        <f>COUNTIF('Task Tracker'!$C$6:$C$212,A7)</f>
        <v>14</v>
      </c>
      <c r="G7" s="3">
        <f>COUNTIFS('Task Tracker'!$C$6:$C$212,A7,'Task Tracker'!$J$6:$J$212,"Complete")</f>
        <v>0</v>
      </c>
      <c r="H7" s="9">
        <f t="shared" si="0"/>
        <v>0</v>
      </c>
      <c r="I7" s="12">
        <f>SUMIF('Task Tracker'!$C$6:$C$212,A7,'Task Tracker'!$L$6:$L$212)</f>
        <v>41.5</v>
      </c>
      <c r="J7" s="12">
        <v>20</v>
      </c>
      <c r="K7" s="12">
        <f t="shared" si="1"/>
        <v>-21.5</v>
      </c>
      <c r="L7" s="12">
        <f>SUMIF('Task Tracker'!$C$6:$C$212,A7,'Task Tracker'!$M$6:$M$212)</f>
        <v>0</v>
      </c>
      <c r="M7" s="12">
        <f t="shared" si="2"/>
        <v>-41.5</v>
      </c>
      <c r="N7" s="3"/>
    </row>
    <row r="8" spans="1:14" ht="27" customHeight="1">
      <c r="A8" s="3">
        <v>3</v>
      </c>
      <c r="B8" s="6">
        <v>46265</v>
      </c>
      <c r="C8" s="6">
        <v>46271</v>
      </c>
      <c r="D8" s="3" t="s">
        <v>719</v>
      </c>
      <c r="E8" s="3" t="s">
        <v>720</v>
      </c>
      <c r="F8" s="3">
        <f>COUNTIF('Task Tracker'!$C$6:$C$212,A8)</f>
        <v>15</v>
      </c>
      <c r="G8" s="3">
        <f>COUNTIFS('Task Tracker'!$C$6:$C$212,A8,'Task Tracker'!$J$6:$J$212,"Complete")</f>
        <v>0</v>
      </c>
      <c r="H8" s="9">
        <f t="shared" si="0"/>
        <v>0</v>
      </c>
      <c r="I8" s="12">
        <f>SUMIF('Task Tracker'!$C$6:$C$212,A8,'Task Tracker'!$L$6:$L$212)</f>
        <v>47.5</v>
      </c>
      <c r="J8" s="12">
        <v>20</v>
      </c>
      <c r="K8" s="12">
        <f t="shared" si="1"/>
        <v>-27.5</v>
      </c>
      <c r="L8" s="12">
        <f>SUMIF('Task Tracker'!$C$6:$C$212,A8,'Task Tracker'!$M$6:$M$212)</f>
        <v>0</v>
      </c>
      <c r="M8" s="12">
        <f t="shared" si="2"/>
        <v>-47.5</v>
      </c>
      <c r="N8" s="3"/>
    </row>
    <row r="9" spans="1:14" ht="27" customHeight="1">
      <c r="A9" s="3">
        <v>4</v>
      </c>
      <c r="B9" s="6">
        <v>46272</v>
      </c>
      <c r="C9" s="6">
        <v>46278</v>
      </c>
      <c r="D9" s="3" t="s">
        <v>721</v>
      </c>
      <c r="E9" s="3" t="s">
        <v>722</v>
      </c>
      <c r="F9" s="3">
        <f>COUNTIF('Task Tracker'!$C$6:$C$212,A9)</f>
        <v>12</v>
      </c>
      <c r="G9" s="3">
        <f>COUNTIFS('Task Tracker'!$C$6:$C$212,A9,'Task Tracker'!$J$6:$J$212,"Complete")</f>
        <v>0</v>
      </c>
      <c r="H9" s="9">
        <f t="shared" si="0"/>
        <v>0</v>
      </c>
      <c r="I9" s="12">
        <f>SUMIF('Task Tracker'!$C$6:$C$212,A9,'Task Tracker'!$L$6:$L$212)</f>
        <v>36.5</v>
      </c>
      <c r="J9" s="12">
        <v>20</v>
      </c>
      <c r="K9" s="12">
        <f t="shared" si="1"/>
        <v>-16.5</v>
      </c>
      <c r="L9" s="12">
        <f>SUMIF('Task Tracker'!$C$6:$C$212,A9,'Task Tracker'!$M$6:$M$212)</f>
        <v>0</v>
      </c>
      <c r="M9" s="12">
        <f t="shared" si="2"/>
        <v>-36.5</v>
      </c>
      <c r="N9" s="3"/>
    </row>
    <row r="10" spans="1:14" ht="27" customHeight="1">
      <c r="A10" s="3">
        <v>5</v>
      </c>
      <c r="B10" s="6">
        <v>46279</v>
      </c>
      <c r="C10" s="6">
        <v>46285</v>
      </c>
      <c r="D10" s="3" t="s">
        <v>723</v>
      </c>
      <c r="E10" s="3" t="s">
        <v>724</v>
      </c>
      <c r="F10" s="3">
        <f>COUNTIF('Task Tracker'!$C$6:$C$212,A10)</f>
        <v>12</v>
      </c>
      <c r="G10" s="3">
        <f>COUNTIFS('Task Tracker'!$C$6:$C$212,A10,'Task Tracker'!$J$6:$J$212,"Complete")</f>
        <v>0</v>
      </c>
      <c r="H10" s="9">
        <f t="shared" si="0"/>
        <v>0</v>
      </c>
      <c r="I10" s="12">
        <f>SUMIF('Task Tracker'!$C$6:$C$212,A10,'Task Tracker'!$L$6:$L$212)</f>
        <v>44</v>
      </c>
      <c r="J10" s="12">
        <v>20</v>
      </c>
      <c r="K10" s="12">
        <f t="shared" si="1"/>
        <v>-24</v>
      </c>
      <c r="L10" s="12">
        <f>SUMIF('Task Tracker'!$C$6:$C$212,A10,'Task Tracker'!$M$6:$M$212)</f>
        <v>0</v>
      </c>
      <c r="M10" s="12">
        <f t="shared" si="2"/>
        <v>-44</v>
      </c>
      <c r="N10" s="3"/>
    </row>
    <row r="11" spans="1:14" ht="27" customHeight="1">
      <c r="A11" s="3">
        <v>6</v>
      </c>
      <c r="B11" s="6">
        <v>46286</v>
      </c>
      <c r="C11" s="6">
        <v>46292</v>
      </c>
      <c r="D11" s="3" t="s">
        <v>725</v>
      </c>
      <c r="E11" s="3" t="s">
        <v>726</v>
      </c>
      <c r="F11" s="3">
        <f>COUNTIF('Task Tracker'!$C$6:$C$212,A11)</f>
        <v>11</v>
      </c>
      <c r="G11" s="3">
        <f>COUNTIFS('Task Tracker'!$C$6:$C$212,A11,'Task Tracker'!$J$6:$J$212,"Complete")</f>
        <v>0</v>
      </c>
      <c r="H11" s="9">
        <f t="shared" si="0"/>
        <v>0</v>
      </c>
      <c r="I11" s="12">
        <f>SUMIF('Task Tracker'!$C$6:$C$212,A11,'Task Tracker'!$L$6:$L$212)</f>
        <v>40</v>
      </c>
      <c r="J11" s="12">
        <v>20</v>
      </c>
      <c r="K11" s="12">
        <f t="shared" si="1"/>
        <v>-20</v>
      </c>
      <c r="L11" s="12">
        <f>SUMIF('Task Tracker'!$C$6:$C$212,A11,'Task Tracker'!$M$6:$M$212)</f>
        <v>0</v>
      </c>
      <c r="M11" s="12">
        <f t="shared" si="2"/>
        <v>-40</v>
      </c>
      <c r="N11" s="3"/>
    </row>
    <row r="12" spans="1:14" ht="27" customHeight="1">
      <c r="A12" s="3">
        <v>7</v>
      </c>
      <c r="B12" s="6">
        <v>46293</v>
      </c>
      <c r="C12" s="6">
        <v>46299</v>
      </c>
      <c r="D12" s="3" t="s">
        <v>727</v>
      </c>
      <c r="E12" s="3" t="s">
        <v>728</v>
      </c>
      <c r="F12" s="3">
        <f>COUNTIF('Task Tracker'!$C$6:$C$212,A12)</f>
        <v>11</v>
      </c>
      <c r="G12" s="3">
        <f>COUNTIFS('Task Tracker'!$C$6:$C$212,A12,'Task Tracker'!$J$6:$J$212,"Complete")</f>
        <v>0</v>
      </c>
      <c r="H12" s="9">
        <f t="shared" si="0"/>
        <v>0</v>
      </c>
      <c r="I12" s="12">
        <f>SUMIF('Task Tracker'!$C$6:$C$212,A12,'Task Tracker'!$L$6:$L$212)</f>
        <v>39</v>
      </c>
      <c r="J12" s="12">
        <v>20</v>
      </c>
      <c r="K12" s="12">
        <f t="shared" si="1"/>
        <v>-19</v>
      </c>
      <c r="L12" s="12">
        <f>SUMIF('Task Tracker'!$C$6:$C$212,A12,'Task Tracker'!$M$6:$M$212)</f>
        <v>0</v>
      </c>
      <c r="M12" s="12">
        <f t="shared" si="2"/>
        <v>-39</v>
      </c>
      <c r="N12" s="3"/>
    </row>
    <row r="13" spans="1:14" ht="27" customHeight="1">
      <c r="A13" s="3">
        <v>8</v>
      </c>
      <c r="B13" s="6">
        <v>46300</v>
      </c>
      <c r="C13" s="6">
        <v>46306</v>
      </c>
      <c r="D13" s="3" t="s">
        <v>729</v>
      </c>
      <c r="E13" s="3" t="s">
        <v>730</v>
      </c>
      <c r="F13" s="3">
        <f>COUNTIF('Task Tracker'!$C$6:$C$212,A13)</f>
        <v>12</v>
      </c>
      <c r="G13" s="3">
        <f>COUNTIFS('Task Tracker'!$C$6:$C$212,A13,'Task Tracker'!$J$6:$J$212,"Complete")</f>
        <v>0</v>
      </c>
      <c r="H13" s="9">
        <f t="shared" si="0"/>
        <v>0</v>
      </c>
      <c r="I13" s="12">
        <f>SUMIF('Task Tracker'!$C$6:$C$212,A13,'Task Tracker'!$L$6:$L$212)</f>
        <v>45.5</v>
      </c>
      <c r="J13" s="12">
        <v>20</v>
      </c>
      <c r="K13" s="12">
        <f t="shared" si="1"/>
        <v>-25.5</v>
      </c>
      <c r="L13" s="12">
        <f>SUMIF('Task Tracker'!$C$6:$C$212,A13,'Task Tracker'!$M$6:$M$212)</f>
        <v>0</v>
      </c>
      <c r="M13" s="12">
        <f t="shared" si="2"/>
        <v>-45.5</v>
      </c>
      <c r="N13" s="3"/>
    </row>
    <row r="14" spans="1:14" ht="27" customHeight="1">
      <c r="A14" s="3">
        <v>9</v>
      </c>
      <c r="B14" s="6">
        <v>46307</v>
      </c>
      <c r="C14" s="6">
        <v>46313</v>
      </c>
      <c r="D14" s="3" t="s">
        <v>731</v>
      </c>
      <c r="E14" s="3" t="s">
        <v>732</v>
      </c>
      <c r="F14" s="3">
        <f>COUNTIF('Task Tracker'!$C$6:$C$212,A14)</f>
        <v>12</v>
      </c>
      <c r="G14" s="3">
        <f>COUNTIFS('Task Tracker'!$C$6:$C$212,A14,'Task Tracker'!$J$6:$J$212,"Complete")</f>
        <v>0</v>
      </c>
      <c r="H14" s="9">
        <f t="shared" si="0"/>
        <v>0</v>
      </c>
      <c r="I14" s="12">
        <f>SUMIF('Task Tracker'!$C$6:$C$212,A14,'Task Tracker'!$L$6:$L$212)</f>
        <v>48</v>
      </c>
      <c r="J14" s="12">
        <v>20</v>
      </c>
      <c r="K14" s="12">
        <f t="shared" si="1"/>
        <v>-28</v>
      </c>
      <c r="L14" s="12">
        <f>SUMIF('Task Tracker'!$C$6:$C$212,A14,'Task Tracker'!$M$6:$M$212)</f>
        <v>0</v>
      </c>
      <c r="M14" s="12">
        <f t="shared" si="2"/>
        <v>-48</v>
      </c>
      <c r="N14" s="3"/>
    </row>
    <row r="15" spans="1:14" ht="27" customHeight="1">
      <c r="A15" s="3">
        <v>10</v>
      </c>
      <c r="B15" s="6">
        <v>46314</v>
      </c>
      <c r="C15" s="6">
        <v>46320</v>
      </c>
      <c r="D15" s="3" t="s">
        <v>733</v>
      </c>
      <c r="E15" s="3" t="s">
        <v>734</v>
      </c>
      <c r="F15" s="3">
        <f>COUNTIF('Task Tracker'!$C$6:$C$212,A15)</f>
        <v>14</v>
      </c>
      <c r="G15" s="3">
        <f>COUNTIFS('Task Tracker'!$C$6:$C$212,A15,'Task Tracker'!$J$6:$J$212,"Complete")</f>
        <v>0</v>
      </c>
      <c r="H15" s="9">
        <f t="shared" si="0"/>
        <v>0</v>
      </c>
      <c r="I15" s="12">
        <f>SUMIF('Task Tracker'!$C$6:$C$212,A15,'Task Tracker'!$L$6:$L$212)</f>
        <v>58</v>
      </c>
      <c r="J15" s="12">
        <v>20</v>
      </c>
      <c r="K15" s="12">
        <f t="shared" si="1"/>
        <v>-38</v>
      </c>
      <c r="L15" s="12">
        <f>SUMIF('Task Tracker'!$C$6:$C$212,A15,'Task Tracker'!$M$6:$M$212)</f>
        <v>0</v>
      </c>
      <c r="M15" s="12">
        <f t="shared" si="2"/>
        <v>-58</v>
      </c>
      <c r="N15" s="3"/>
    </row>
    <row r="16" spans="1:14" ht="27" customHeight="1">
      <c r="A16" s="3">
        <v>11</v>
      </c>
      <c r="B16" s="6">
        <v>46321</v>
      </c>
      <c r="C16" s="6">
        <v>46327</v>
      </c>
      <c r="D16" s="3" t="s">
        <v>735</v>
      </c>
      <c r="E16" s="3" t="s">
        <v>736</v>
      </c>
      <c r="F16" s="3">
        <f>COUNTIF('Task Tracker'!$C$6:$C$212,A16)</f>
        <v>12</v>
      </c>
      <c r="G16" s="3">
        <f>COUNTIFS('Task Tracker'!$C$6:$C$212,A16,'Task Tracker'!$J$6:$J$212,"Complete")</f>
        <v>0</v>
      </c>
      <c r="H16" s="9">
        <f t="shared" si="0"/>
        <v>0</v>
      </c>
      <c r="I16" s="12">
        <f>SUMIF('Task Tracker'!$C$6:$C$212,A16,'Task Tracker'!$L$6:$L$212)</f>
        <v>40</v>
      </c>
      <c r="J16" s="12">
        <v>20</v>
      </c>
      <c r="K16" s="12">
        <f t="shared" si="1"/>
        <v>-20</v>
      </c>
      <c r="L16" s="12">
        <f>SUMIF('Task Tracker'!$C$6:$C$212,A16,'Task Tracker'!$M$6:$M$212)</f>
        <v>0</v>
      </c>
      <c r="M16" s="12">
        <f t="shared" si="2"/>
        <v>-40</v>
      </c>
      <c r="N16" s="3"/>
    </row>
    <row r="17" spans="1:14" ht="27" customHeight="1">
      <c r="A17" s="3">
        <v>12</v>
      </c>
      <c r="B17" s="6">
        <v>46328</v>
      </c>
      <c r="C17" s="6">
        <v>46334</v>
      </c>
      <c r="D17" s="3" t="s">
        <v>737</v>
      </c>
      <c r="E17" s="3" t="s">
        <v>738</v>
      </c>
      <c r="F17" s="3">
        <f>COUNTIF('Task Tracker'!$C$6:$C$212,A17)</f>
        <v>12</v>
      </c>
      <c r="G17" s="3">
        <f>COUNTIFS('Task Tracker'!$C$6:$C$212,A17,'Task Tracker'!$J$6:$J$212,"Complete")</f>
        <v>0</v>
      </c>
      <c r="H17" s="9">
        <f t="shared" si="0"/>
        <v>0</v>
      </c>
      <c r="I17" s="12">
        <f>SUMIF('Task Tracker'!$C$6:$C$212,A17,'Task Tracker'!$L$6:$L$212)</f>
        <v>46</v>
      </c>
      <c r="J17" s="12">
        <v>20</v>
      </c>
      <c r="K17" s="12">
        <f t="shared" si="1"/>
        <v>-26</v>
      </c>
      <c r="L17" s="12">
        <f>SUMIF('Task Tracker'!$C$6:$C$212,A17,'Task Tracker'!$M$6:$M$212)</f>
        <v>0</v>
      </c>
      <c r="M17" s="12">
        <f t="shared" si="2"/>
        <v>-46</v>
      </c>
      <c r="N17" s="3"/>
    </row>
    <row r="18" spans="1:14" ht="27" customHeight="1">
      <c r="A18" s="3">
        <v>13</v>
      </c>
      <c r="B18" s="6">
        <v>46335</v>
      </c>
      <c r="C18" s="6">
        <v>46341</v>
      </c>
      <c r="D18" s="3" t="s">
        <v>739</v>
      </c>
      <c r="E18" s="3" t="s">
        <v>740</v>
      </c>
      <c r="F18" s="3">
        <f>COUNTIF('Task Tracker'!$C$6:$C$212,A18)</f>
        <v>13</v>
      </c>
      <c r="G18" s="3">
        <f>COUNTIFS('Task Tracker'!$C$6:$C$212,A18,'Task Tracker'!$J$6:$J$212,"Complete")</f>
        <v>0</v>
      </c>
      <c r="H18" s="9">
        <f t="shared" si="0"/>
        <v>0</v>
      </c>
      <c r="I18" s="12">
        <f>SUMIF('Task Tracker'!$C$6:$C$212,A18,'Task Tracker'!$L$6:$L$212)</f>
        <v>51</v>
      </c>
      <c r="J18" s="12">
        <v>20</v>
      </c>
      <c r="K18" s="12">
        <f t="shared" si="1"/>
        <v>-31</v>
      </c>
      <c r="L18" s="12">
        <f>SUMIF('Task Tracker'!$C$6:$C$212,A18,'Task Tracker'!$M$6:$M$212)</f>
        <v>0</v>
      </c>
      <c r="M18" s="12">
        <f t="shared" si="2"/>
        <v>-51</v>
      </c>
      <c r="N18" s="3"/>
    </row>
    <row r="19" spans="1:14" ht="27" customHeight="1">
      <c r="A19" s="3">
        <v>14</v>
      </c>
      <c r="B19" s="6">
        <v>46342</v>
      </c>
      <c r="C19" s="6">
        <v>46348</v>
      </c>
      <c r="D19" s="3" t="s">
        <v>741</v>
      </c>
      <c r="E19" s="3" t="s">
        <v>742</v>
      </c>
      <c r="F19" s="3">
        <f>COUNTIF('Task Tracker'!$C$6:$C$212,A19)</f>
        <v>12</v>
      </c>
      <c r="G19" s="3">
        <f>COUNTIFS('Task Tracker'!$C$6:$C$212,A19,'Task Tracker'!$J$6:$J$212,"Complete")</f>
        <v>0</v>
      </c>
      <c r="H19" s="9">
        <f t="shared" si="0"/>
        <v>0</v>
      </c>
      <c r="I19" s="12">
        <f>SUMIF('Task Tracker'!$C$6:$C$212,A19,'Task Tracker'!$L$6:$L$212)</f>
        <v>52</v>
      </c>
      <c r="J19" s="12">
        <v>20</v>
      </c>
      <c r="K19" s="12">
        <f t="shared" si="1"/>
        <v>-32</v>
      </c>
      <c r="L19" s="12">
        <f>SUMIF('Task Tracker'!$C$6:$C$212,A19,'Task Tracker'!$M$6:$M$212)</f>
        <v>0</v>
      </c>
      <c r="M19" s="12">
        <f t="shared" si="2"/>
        <v>-52</v>
      </c>
      <c r="N19" s="3"/>
    </row>
    <row r="20" spans="1:14" ht="27" customHeight="1">
      <c r="A20" s="3">
        <v>15</v>
      </c>
      <c r="B20" s="6">
        <v>46349</v>
      </c>
      <c r="C20" s="6">
        <v>46355</v>
      </c>
      <c r="D20" s="3" t="s">
        <v>743</v>
      </c>
      <c r="E20" s="3" t="s">
        <v>744</v>
      </c>
      <c r="F20" s="3">
        <f>COUNTIF('Task Tracker'!$C$6:$C$212,A20)</f>
        <v>14</v>
      </c>
      <c r="G20" s="3">
        <f>COUNTIFS('Task Tracker'!$C$6:$C$212,A20,'Task Tracker'!$J$6:$J$212,"Complete")</f>
        <v>0</v>
      </c>
      <c r="H20" s="9">
        <f t="shared" si="0"/>
        <v>0</v>
      </c>
      <c r="I20" s="12">
        <f>SUMIF('Task Tracker'!$C$6:$C$212,A20,'Task Tracker'!$L$6:$L$212)</f>
        <v>61</v>
      </c>
      <c r="J20" s="12">
        <v>20</v>
      </c>
      <c r="K20" s="12">
        <f t="shared" si="1"/>
        <v>-41</v>
      </c>
      <c r="L20" s="12">
        <f>SUMIF('Task Tracker'!$C$6:$C$212,A20,'Task Tracker'!$M$6:$M$212)</f>
        <v>0</v>
      </c>
      <c r="M20" s="12">
        <f t="shared" si="2"/>
        <v>-61</v>
      </c>
      <c r="N20" s="3"/>
    </row>
    <row r="21" spans="1:14" ht="27" customHeight="1">
      <c r="A21" s="4">
        <v>16</v>
      </c>
      <c r="B21" s="7">
        <v>46356</v>
      </c>
      <c r="C21" s="7">
        <v>46362</v>
      </c>
      <c r="D21" s="4" t="s">
        <v>745</v>
      </c>
      <c r="E21" s="4" t="s">
        <v>746</v>
      </c>
      <c r="F21" s="4">
        <f>COUNTIF('Task Tracker'!$C$6:$C$212,A21)</f>
        <v>14</v>
      </c>
      <c r="G21" s="4">
        <f>COUNTIFS('Task Tracker'!$C$6:$C$212,A21,'Task Tracker'!$J$6:$J$212,"Complete")</f>
        <v>0</v>
      </c>
      <c r="H21" s="10">
        <f t="shared" si="0"/>
        <v>0</v>
      </c>
      <c r="I21" s="13">
        <f>SUMIF('Task Tracker'!$C$6:$C$212,A21,'Task Tracker'!$L$6:$L$212)</f>
        <v>53</v>
      </c>
      <c r="J21" s="13">
        <v>20</v>
      </c>
      <c r="K21" s="13">
        <f t="shared" si="1"/>
        <v>-33</v>
      </c>
      <c r="L21" s="13">
        <f>SUMIF('Task Tracker'!$C$6:$C$212,A21,'Task Tracker'!$M$6:$M$212)</f>
        <v>0</v>
      </c>
      <c r="M21" s="13">
        <f t="shared" si="2"/>
        <v>-53</v>
      </c>
      <c r="N21" s="4"/>
    </row>
  </sheetData>
  <mergeCells count="2">
    <mergeCell ref="A1:N2"/>
    <mergeCell ref="A3:N3"/>
  </mergeCells>
  <conditionalFormatting sqref="H6:H21">
    <cfRule type="dataBar" priority="1">
      <dataBar>
        <cfvo type="min"/>
        <cfvo type="max"/>
        <color rgb="FF287A57"/>
      </dataBar>
    </cfRule>
    <cfRule type="dataBar" priority="3">
      <dataBar>
        <cfvo type="min"/>
        <cfvo type="max"/>
        <color rgb="FF287A57"/>
      </dataBar>
      <extLst>
        <ext xmlns:x14="http://schemas.microsoft.com/office/spreadsheetml/2009/9/main" uri="{B025F937-C7B1-47D3-B67F-A62EFF666E3E}">
          <x14:id>{42C5FA43-5C83-ACD8-4094-A3E0AE5D87F8}</x14:id>
        </ext>
      </extLst>
    </cfRule>
  </conditionalFormatting>
  <conditionalFormatting sqref="K6:K21">
    <cfRule type="cellIs" dxfId="8" priority="2" operator="lessThan">
      <formula>0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C5FA43-5C83-ACD8-4094-A3E0AE5D87F8}">
            <x14:dataBar>
              <x14:cfvo type="min"/>
              <x14:cfvo type="max"/>
              <x14:negativeFillColor auto="1"/>
              <x14:axisColor auto="1"/>
            </x14:dataBar>
          </x14:cfRule>
          <xm:sqref>H6:H21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showGridLines="0" workbookViewId="0"/>
  </sheetViews>
  <sheetFormatPr defaultRowHeight="14.25"/>
  <cols>
    <col min="1" max="1" width="10" customWidth="1"/>
    <col min="2" max="2" width="30" customWidth="1"/>
    <col min="3" max="3" width="48" customWidth="1"/>
    <col min="4" max="4" width="12" customWidth="1"/>
    <col min="5" max="5" width="14" customWidth="1"/>
    <col min="6" max="6" width="18" customWidth="1"/>
    <col min="7" max="8" width="15" customWidth="1"/>
    <col min="9" max="9" width="25" customWidth="1"/>
    <col min="10" max="10" width="30" customWidth="1"/>
  </cols>
  <sheetData>
    <row r="1" spans="1:10" ht="27" customHeight="1">
      <c r="A1" s="33" t="s">
        <v>747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ht="27" customHeight="1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0" ht="33.950000000000003" customHeight="1">
      <c r="A3" s="34" t="s">
        <v>748</v>
      </c>
      <c r="B3" s="34"/>
      <c r="C3" s="34"/>
      <c r="D3" s="34"/>
      <c r="E3" s="34"/>
      <c r="F3" s="34"/>
      <c r="G3" s="34"/>
      <c r="H3" s="34"/>
      <c r="I3" s="34"/>
      <c r="J3" s="34"/>
    </row>
    <row r="5" spans="1:10" ht="30" customHeight="1">
      <c r="A5" s="1" t="s">
        <v>749</v>
      </c>
      <c r="B5" s="1" t="s">
        <v>750</v>
      </c>
      <c r="C5" s="1" t="s">
        <v>751</v>
      </c>
      <c r="D5" s="1" t="s">
        <v>752</v>
      </c>
      <c r="E5" s="1" t="s">
        <v>26</v>
      </c>
      <c r="F5" s="1" t="s">
        <v>28</v>
      </c>
      <c r="G5" s="1" t="s">
        <v>753</v>
      </c>
      <c r="H5" s="1" t="s">
        <v>754</v>
      </c>
      <c r="I5" s="1" t="s">
        <v>35</v>
      </c>
      <c r="J5" s="1" t="s">
        <v>36</v>
      </c>
    </row>
    <row r="6" spans="1:10" ht="27" customHeight="1">
      <c r="A6" s="2" t="s">
        <v>755</v>
      </c>
      <c r="B6" s="2" t="s">
        <v>756</v>
      </c>
      <c r="C6" s="2" t="s">
        <v>757</v>
      </c>
      <c r="D6" s="2">
        <v>1</v>
      </c>
      <c r="E6" s="5">
        <v>46257</v>
      </c>
      <c r="F6" s="2" t="s">
        <v>43</v>
      </c>
      <c r="G6" s="2" t="s">
        <v>44</v>
      </c>
      <c r="H6" s="5"/>
      <c r="I6" s="2"/>
      <c r="J6" s="2"/>
    </row>
    <row r="7" spans="1:10" ht="27" customHeight="1">
      <c r="A7" s="3" t="s">
        <v>758</v>
      </c>
      <c r="B7" s="3" t="s">
        <v>759</v>
      </c>
      <c r="C7" s="3" t="s">
        <v>760</v>
      </c>
      <c r="D7" s="3">
        <v>1</v>
      </c>
      <c r="E7" s="6">
        <v>46257</v>
      </c>
      <c r="F7" s="3" t="s">
        <v>43</v>
      </c>
      <c r="G7" s="3" t="s">
        <v>44</v>
      </c>
      <c r="H7" s="6"/>
      <c r="I7" s="3"/>
      <c r="J7" s="3"/>
    </row>
    <row r="8" spans="1:10" ht="27" customHeight="1">
      <c r="A8" s="3" t="s">
        <v>761</v>
      </c>
      <c r="B8" s="3" t="s">
        <v>762</v>
      </c>
      <c r="C8" s="3" t="s">
        <v>763</v>
      </c>
      <c r="D8" s="3">
        <v>1</v>
      </c>
      <c r="E8" s="6">
        <v>46257</v>
      </c>
      <c r="F8" s="3" t="s">
        <v>43</v>
      </c>
      <c r="G8" s="3" t="s">
        <v>44</v>
      </c>
      <c r="H8" s="6"/>
      <c r="I8" s="3"/>
      <c r="J8" s="3"/>
    </row>
    <row r="9" spans="1:10" ht="27" customHeight="1">
      <c r="A9" s="3" t="s">
        <v>764</v>
      </c>
      <c r="B9" s="3" t="s">
        <v>765</v>
      </c>
      <c r="C9" s="3" t="s">
        <v>766</v>
      </c>
      <c r="D9" s="3">
        <v>1</v>
      </c>
      <c r="E9" s="6">
        <v>46257</v>
      </c>
      <c r="F9" s="3" t="s">
        <v>43</v>
      </c>
      <c r="G9" s="3" t="s">
        <v>44</v>
      </c>
      <c r="H9" s="6"/>
      <c r="I9" s="3"/>
      <c r="J9" s="3"/>
    </row>
    <row r="10" spans="1:10" ht="27" customHeight="1">
      <c r="A10" s="3" t="s">
        <v>767</v>
      </c>
      <c r="B10" s="3" t="s">
        <v>768</v>
      </c>
      <c r="C10" s="3" t="s">
        <v>769</v>
      </c>
      <c r="D10" s="3">
        <v>1</v>
      </c>
      <c r="E10" s="6">
        <v>46257</v>
      </c>
      <c r="F10" s="3" t="s">
        <v>43</v>
      </c>
      <c r="G10" s="3" t="s">
        <v>44</v>
      </c>
      <c r="H10" s="6"/>
      <c r="I10" s="3"/>
      <c r="J10" s="3"/>
    </row>
    <row r="11" spans="1:10" ht="27" customHeight="1">
      <c r="A11" s="3" t="s">
        <v>770</v>
      </c>
      <c r="B11" s="3" t="s">
        <v>771</v>
      </c>
      <c r="C11" s="3" t="s">
        <v>772</v>
      </c>
      <c r="D11" s="3">
        <v>1</v>
      </c>
      <c r="E11" s="6">
        <v>46257</v>
      </c>
      <c r="F11" s="3" t="s">
        <v>43</v>
      </c>
      <c r="G11" s="3" t="s">
        <v>44</v>
      </c>
      <c r="H11" s="6"/>
      <c r="I11" s="3"/>
      <c r="J11" s="3"/>
    </row>
    <row r="12" spans="1:10" ht="27" customHeight="1">
      <c r="A12" s="3" t="s">
        <v>773</v>
      </c>
      <c r="B12" s="3" t="s">
        <v>774</v>
      </c>
      <c r="C12" s="3" t="s">
        <v>775</v>
      </c>
      <c r="D12" s="3">
        <v>1</v>
      </c>
      <c r="E12" s="6">
        <v>46257</v>
      </c>
      <c r="F12" s="3" t="s">
        <v>43</v>
      </c>
      <c r="G12" s="3" t="s">
        <v>44</v>
      </c>
      <c r="H12" s="6"/>
      <c r="I12" s="3"/>
      <c r="J12" s="3"/>
    </row>
    <row r="13" spans="1:10" ht="27" customHeight="1">
      <c r="A13" s="3" t="s">
        <v>776</v>
      </c>
      <c r="B13" s="3" t="s">
        <v>777</v>
      </c>
      <c r="C13" s="3" t="s">
        <v>778</v>
      </c>
      <c r="D13" s="3">
        <v>1</v>
      </c>
      <c r="E13" s="6">
        <v>46257</v>
      </c>
      <c r="F13" s="3" t="s">
        <v>43</v>
      </c>
      <c r="G13" s="3" t="s">
        <v>44</v>
      </c>
      <c r="H13" s="6"/>
      <c r="I13" s="3"/>
      <c r="J13" s="3"/>
    </row>
    <row r="14" spans="1:10" ht="27" customHeight="1">
      <c r="A14" s="3" t="s">
        <v>779</v>
      </c>
      <c r="B14" s="3" t="s">
        <v>780</v>
      </c>
      <c r="C14" s="3" t="s">
        <v>781</v>
      </c>
      <c r="D14" s="3">
        <v>2</v>
      </c>
      <c r="E14" s="6">
        <v>46264</v>
      </c>
      <c r="F14" s="3" t="s">
        <v>43</v>
      </c>
      <c r="G14" s="3" t="s">
        <v>44</v>
      </c>
      <c r="H14" s="6"/>
      <c r="I14" s="3"/>
      <c r="J14" s="3"/>
    </row>
    <row r="15" spans="1:10" ht="27" customHeight="1">
      <c r="A15" s="3" t="s">
        <v>782</v>
      </c>
      <c r="B15" s="3" t="s">
        <v>783</v>
      </c>
      <c r="C15" s="3" t="s">
        <v>784</v>
      </c>
      <c r="D15" s="3">
        <v>2</v>
      </c>
      <c r="E15" s="6">
        <v>46264</v>
      </c>
      <c r="F15" s="3" t="s">
        <v>43</v>
      </c>
      <c r="G15" s="3" t="s">
        <v>44</v>
      </c>
      <c r="H15" s="6"/>
      <c r="I15" s="3"/>
      <c r="J15" s="3"/>
    </row>
    <row r="16" spans="1:10" ht="27" customHeight="1">
      <c r="A16" s="3" t="s">
        <v>785</v>
      </c>
      <c r="B16" s="3" t="s">
        <v>786</v>
      </c>
      <c r="C16" s="3" t="s">
        <v>787</v>
      </c>
      <c r="D16" s="3">
        <v>2</v>
      </c>
      <c r="E16" s="6">
        <v>46264</v>
      </c>
      <c r="F16" s="3" t="s">
        <v>43</v>
      </c>
      <c r="G16" s="3" t="s">
        <v>44</v>
      </c>
      <c r="H16" s="6"/>
      <c r="I16" s="3"/>
      <c r="J16" s="3"/>
    </row>
    <row r="17" spans="1:10" ht="27" customHeight="1">
      <c r="A17" s="3" t="s">
        <v>788</v>
      </c>
      <c r="B17" s="3" t="s">
        <v>789</v>
      </c>
      <c r="C17" s="3" t="s">
        <v>790</v>
      </c>
      <c r="D17" s="3">
        <v>2</v>
      </c>
      <c r="E17" s="6">
        <v>46264</v>
      </c>
      <c r="F17" s="3" t="s">
        <v>43</v>
      </c>
      <c r="G17" s="3" t="s">
        <v>44</v>
      </c>
      <c r="H17" s="6"/>
      <c r="I17" s="3"/>
      <c r="J17" s="3"/>
    </row>
    <row r="18" spans="1:10" ht="27" customHeight="1">
      <c r="A18" s="3" t="s">
        <v>791</v>
      </c>
      <c r="B18" s="3" t="s">
        <v>792</v>
      </c>
      <c r="C18" s="3" t="s">
        <v>793</v>
      </c>
      <c r="D18" s="3">
        <v>2</v>
      </c>
      <c r="E18" s="6">
        <v>46264</v>
      </c>
      <c r="F18" s="3" t="s">
        <v>43</v>
      </c>
      <c r="G18" s="3" t="s">
        <v>44</v>
      </c>
      <c r="H18" s="6"/>
      <c r="I18" s="3"/>
      <c r="J18" s="3"/>
    </row>
    <row r="19" spans="1:10" ht="27" customHeight="1">
      <c r="A19" s="3" t="s">
        <v>794</v>
      </c>
      <c r="B19" s="3" t="s">
        <v>795</v>
      </c>
      <c r="C19" s="3" t="s">
        <v>796</v>
      </c>
      <c r="D19" s="3">
        <v>3</v>
      </c>
      <c r="E19" s="6">
        <v>46271</v>
      </c>
      <c r="F19" s="3" t="s">
        <v>43</v>
      </c>
      <c r="G19" s="3" t="s">
        <v>44</v>
      </c>
      <c r="H19" s="6"/>
      <c r="I19" s="3"/>
      <c r="J19" s="3"/>
    </row>
    <row r="20" spans="1:10" ht="27" customHeight="1">
      <c r="A20" s="3" t="s">
        <v>797</v>
      </c>
      <c r="B20" s="3" t="s">
        <v>798</v>
      </c>
      <c r="C20" s="3" t="s">
        <v>799</v>
      </c>
      <c r="D20" s="3">
        <v>3</v>
      </c>
      <c r="E20" s="6">
        <v>46271</v>
      </c>
      <c r="F20" s="3" t="s">
        <v>43</v>
      </c>
      <c r="G20" s="3" t="s">
        <v>44</v>
      </c>
      <c r="H20" s="6"/>
      <c r="I20" s="3"/>
      <c r="J20" s="3"/>
    </row>
    <row r="21" spans="1:10" ht="27" customHeight="1">
      <c r="A21" s="3" t="s">
        <v>800</v>
      </c>
      <c r="B21" s="3" t="s">
        <v>801</v>
      </c>
      <c r="C21" s="3" t="s">
        <v>802</v>
      </c>
      <c r="D21" s="3">
        <v>3</v>
      </c>
      <c r="E21" s="6">
        <v>46271</v>
      </c>
      <c r="F21" s="3" t="s">
        <v>43</v>
      </c>
      <c r="G21" s="3" t="s">
        <v>44</v>
      </c>
      <c r="H21" s="6"/>
      <c r="I21" s="3"/>
      <c r="J21" s="3"/>
    </row>
    <row r="22" spans="1:10" ht="27" customHeight="1">
      <c r="A22" s="3" t="s">
        <v>803</v>
      </c>
      <c r="B22" s="3" t="s">
        <v>804</v>
      </c>
      <c r="C22" s="3" t="s">
        <v>805</v>
      </c>
      <c r="D22" s="3">
        <v>3</v>
      </c>
      <c r="E22" s="6">
        <v>46271</v>
      </c>
      <c r="F22" s="3" t="s">
        <v>43</v>
      </c>
      <c r="G22" s="3" t="s">
        <v>44</v>
      </c>
      <c r="H22" s="6"/>
      <c r="I22" s="3"/>
      <c r="J22" s="3"/>
    </row>
    <row r="23" spans="1:10" ht="27" customHeight="1">
      <c r="A23" s="3" t="s">
        <v>806</v>
      </c>
      <c r="B23" s="3" t="s">
        <v>807</v>
      </c>
      <c r="C23" s="3" t="s">
        <v>808</v>
      </c>
      <c r="D23" s="3">
        <v>3</v>
      </c>
      <c r="E23" s="6">
        <v>46271</v>
      </c>
      <c r="F23" s="3" t="s">
        <v>43</v>
      </c>
      <c r="G23" s="3" t="s">
        <v>44</v>
      </c>
      <c r="H23" s="6"/>
      <c r="I23" s="3"/>
      <c r="J23" s="3"/>
    </row>
    <row r="24" spans="1:10" ht="27" customHeight="1">
      <c r="A24" s="3" t="s">
        <v>809</v>
      </c>
      <c r="B24" s="3" t="s">
        <v>810</v>
      </c>
      <c r="C24" s="3" t="s">
        <v>811</v>
      </c>
      <c r="D24" s="3">
        <v>3</v>
      </c>
      <c r="E24" s="6">
        <v>46271</v>
      </c>
      <c r="F24" s="3" t="s">
        <v>43</v>
      </c>
      <c r="G24" s="3" t="s">
        <v>44</v>
      </c>
      <c r="H24" s="6"/>
      <c r="I24" s="3"/>
      <c r="J24" s="3"/>
    </row>
    <row r="25" spans="1:10" ht="27" customHeight="1">
      <c r="A25" s="3" t="s">
        <v>812</v>
      </c>
      <c r="B25" s="3" t="s">
        <v>813</v>
      </c>
      <c r="C25" s="3" t="s">
        <v>814</v>
      </c>
      <c r="D25" s="3">
        <v>3</v>
      </c>
      <c r="E25" s="6">
        <v>46271</v>
      </c>
      <c r="F25" s="3" t="s">
        <v>43</v>
      </c>
      <c r="G25" s="3" t="s">
        <v>44</v>
      </c>
      <c r="H25" s="6"/>
      <c r="I25" s="3"/>
      <c r="J25" s="3"/>
    </row>
    <row r="26" spans="1:10" ht="27" customHeight="1">
      <c r="A26" s="3" t="s">
        <v>815</v>
      </c>
      <c r="B26" s="3" t="s">
        <v>816</v>
      </c>
      <c r="C26" s="3" t="s">
        <v>817</v>
      </c>
      <c r="D26" s="3">
        <v>3</v>
      </c>
      <c r="E26" s="6">
        <v>46271</v>
      </c>
      <c r="F26" s="3" t="s">
        <v>43</v>
      </c>
      <c r="G26" s="3" t="s">
        <v>44</v>
      </c>
      <c r="H26" s="6"/>
      <c r="I26" s="3"/>
      <c r="J26" s="3"/>
    </row>
    <row r="27" spans="1:10" ht="27" customHeight="1">
      <c r="A27" s="3" t="s">
        <v>818</v>
      </c>
      <c r="B27" s="3" t="s">
        <v>819</v>
      </c>
      <c r="C27" s="3" t="s">
        <v>820</v>
      </c>
      <c r="D27" s="3">
        <v>3</v>
      </c>
      <c r="E27" s="6">
        <v>46271</v>
      </c>
      <c r="F27" s="3" t="s">
        <v>43</v>
      </c>
      <c r="G27" s="3" t="s">
        <v>44</v>
      </c>
      <c r="H27" s="6"/>
      <c r="I27" s="3"/>
      <c r="J27" s="3"/>
    </row>
    <row r="28" spans="1:10" ht="27" customHeight="1">
      <c r="A28" s="3" t="s">
        <v>821</v>
      </c>
      <c r="B28" s="3" t="s">
        <v>822</v>
      </c>
      <c r="C28" s="3" t="s">
        <v>823</v>
      </c>
      <c r="D28" s="3">
        <v>10</v>
      </c>
      <c r="E28" s="6">
        <v>46320</v>
      </c>
      <c r="F28" s="3" t="s">
        <v>43</v>
      </c>
      <c r="G28" s="3" t="s">
        <v>44</v>
      </c>
      <c r="H28" s="6"/>
      <c r="I28" s="3"/>
      <c r="J28" s="3"/>
    </row>
    <row r="29" spans="1:10" ht="27" customHeight="1">
      <c r="A29" s="3" t="s">
        <v>824</v>
      </c>
      <c r="B29" s="3" t="s">
        <v>825</v>
      </c>
      <c r="C29" s="3" t="s">
        <v>826</v>
      </c>
      <c r="D29" s="3">
        <v>10</v>
      </c>
      <c r="E29" s="6">
        <v>46320</v>
      </c>
      <c r="F29" s="3" t="s">
        <v>43</v>
      </c>
      <c r="G29" s="3" t="s">
        <v>44</v>
      </c>
      <c r="H29" s="6"/>
      <c r="I29" s="3"/>
      <c r="J29" s="3"/>
    </row>
    <row r="30" spans="1:10" ht="27" customHeight="1">
      <c r="A30" s="3" t="s">
        <v>827</v>
      </c>
      <c r="B30" s="3" t="s">
        <v>828</v>
      </c>
      <c r="C30" s="3" t="s">
        <v>829</v>
      </c>
      <c r="D30" s="3">
        <v>10</v>
      </c>
      <c r="E30" s="6">
        <v>46320</v>
      </c>
      <c r="F30" s="3" t="s">
        <v>43</v>
      </c>
      <c r="G30" s="3" t="s">
        <v>44</v>
      </c>
      <c r="H30" s="6"/>
      <c r="I30" s="3"/>
      <c r="J30" s="3"/>
    </row>
    <row r="31" spans="1:10" ht="27" customHeight="1">
      <c r="A31" s="3" t="s">
        <v>830</v>
      </c>
      <c r="B31" s="3" t="s">
        <v>831</v>
      </c>
      <c r="C31" s="3" t="s">
        <v>832</v>
      </c>
      <c r="D31" s="3">
        <v>3</v>
      </c>
      <c r="E31" s="6">
        <v>46271</v>
      </c>
      <c r="F31" s="3" t="s">
        <v>43</v>
      </c>
      <c r="G31" s="3" t="s">
        <v>44</v>
      </c>
      <c r="H31" s="6"/>
      <c r="I31" s="3"/>
      <c r="J31" s="3"/>
    </row>
    <row r="32" spans="1:10" ht="27" customHeight="1">
      <c r="A32" s="3" t="s">
        <v>833</v>
      </c>
      <c r="B32" s="3" t="s">
        <v>834</v>
      </c>
      <c r="C32" s="3" t="s">
        <v>835</v>
      </c>
      <c r="D32" s="3">
        <v>11</v>
      </c>
      <c r="E32" s="6">
        <v>46327</v>
      </c>
      <c r="F32" s="3" t="s">
        <v>43</v>
      </c>
      <c r="G32" s="3" t="s">
        <v>44</v>
      </c>
      <c r="H32" s="6"/>
      <c r="I32" s="3"/>
      <c r="J32" s="3"/>
    </row>
    <row r="33" spans="1:10" ht="27" customHeight="1">
      <c r="A33" s="3" t="s">
        <v>836</v>
      </c>
      <c r="B33" s="3" t="s">
        <v>837</v>
      </c>
      <c r="C33" s="3" t="s">
        <v>838</v>
      </c>
      <c r="D33" s="3">
        <v>11</v>
      </c>
      <c r="E33" s="6">
        <v>46327</v>
      </c>
      <c r="F33" s="3" t="s">
        <v>43</v>
      </c>
      <c r="G33" s="3" t="s">
        <v>44</v>
      </c>
      <c r="H33" s="6"/>
      <c r="I33" s="3"/>
      <c r="J33" s="3"/>
    </row>
    <row r="34" spans="1:10" ht="27" customHeight="1">
      <c r="A34" s="3" t="s">
        <v>839</v>
      </c>
      <c r="B34" s="3" t="s">
        <v>840</v>
      </c>
      <c r="C34" s="3" t="s">
        <v>841</v>
      </c>
      <c r="D34" s="3">
        <v>12</v>
      </c>
      <c r="E34" s="6">
        <v>46334</v>
      </c>
      <c r="F34" s="3" t="s">
        <v>43</v>
      </c>
      <c r="G34" s="3" t="s">
        <v>44</v>
      </c>
      <c r="H34" s="6"/>
      <c r="I34" s="3"/>
      <c r="J34" s="3"/>
    </row>
    <row r="35" spans="1:10" ht="27" customHeight="1">
      <c r="A35" s="3" t="s">
        <v>842</v>
      </c>
      <c r="B35" s="3" t="s">
        <v>843</v>
      </c>
      <c r="C35" s="3" t="s">
        <v>844</v>
      </c>
      <c r="D35" s="3">
        <v>16</v>
      </c>
      <c r="E35" s="6">
        <v>46362</v>
      </c>
      <c r="F35" s="3" t="s">
        <v>43</v>
      </c>
      <c r="G35" s="3" t="s">
        <v>44</v>
      </c>
      <c r="H35" s="6"/>
      <c r="I35" s="3"/>
      <c r="J35" s="3"/>
    </row>
    <row r="36" spans="1:10" ht="27" customHeight="1">
      <c r="A36" s="3" t="s">
        <v>845</v>
      </c>
      <c r="B36" s="3" t="s">
        <v>846</v>
      </c>
      <c r="C36" s="3" t="s">
        <v>847</v>
      </c>
      <c r="D36" s="3">
        <v>15</v>
      </c>
      <c r="E36" s="6">
        <v>46355</v>
      </c>
      <c r="F36" s="3" t="s">
        <v>43</v>
      </c>
      <c r="G36" s="3" t="s">
        <v>44</v>
      </c>
      <c r="H36" s="6"/>
      <c r="I36" s="3"/>
      <c r="J36" s="3"/>
    </row>
    <row r="37" spans="1:10" ht="27" customHeight="1">
      <c r="A37" s="3" t="s">
        <v>848</v>
      </c>
      <c r="B37" s="3" t="s">
        <v>849</v>
      </c>
      <c r="C37" s="3" t="s">
        <v>850</v>
      </c>
      <c r="D37" s="3">
        <v>15</v>
      </c>
      <c r="E37" s="6">
        <v>46355</v>
      </c>
      <c r="F37" s="3" t="s">
        <v>43</v>
      </c>
      <c r="G37" s="3" t="s">
        <v>44</v>
      </c>
      <c r="H37" s="6"/>
      <c r="I37" s="3"/>
      <c r="J37" s="3"/>
    </row>
    <row r="38" spans="1:10" ht="27" customHeight="1">
      <c r="A38" s="3" t="s">
        <v>851</v>
      </c>
      <c r="B38" s="3" t="s">
        <v>852</v>
      </c>
      <c r="C38" s="3" t="s">
        <v>853</v>
      </c>
      <c r="D38" s="3">
        <v>16</v>
      </c>
      <c r="E38" s="6">
        <v>46362</v>
      </c>
      <c r="F38" s="3" t="s">
        <v>43</v>
      </c>
      <c r="G38" s="3" t="s">
        <v>44</v>
      </c>
      <c r="H38" s="6"/>
      <c r="I38" s="3"/>
      <c r="J38" s="3"/>
    </row>
    <row r="39" spans="1:10" ht="27" customHeight="1">
      <c r="A39" s="3" t="s">
        <v>854</v>
      </c>
      <c r="B39" s="3" t="s">
        <v>855</v>
      </c>
      <c r="C39" s="3" t="s">
        <v>856</v>
      </c>
      <c r="D39" s="3">
        <v>16</v>
      </c>
      <c r="E39" s="6">
        <v>46362</v>
      </c>
      <c r="F39" s="3" t="s">
        <v>43</v>
      </c>
      <c r="G39" s="3" t="s">
        <v>44</v>
      </c>
      <c r="H39" s="6"/>
      <c r="I39" s="3"/>
      <c r="J39" s="3"/>
    </row>
    <row r="40" spans="1:10" ht="27" customHeight="1">
      <c r="A40" s="3" t="s">
        <v>857</v>
      </c>
      <c r="B40" s="3" t="s">
        <v>858</v>
      </c>
      <c r="C40" s="3" t="s">
        <v>859</v>
      </c>
      <c r="D40" s="3">
        <v>16</v>
      </c>
      <c r="E40" s="6">
        <v>46362</v>
      </c>
      <c r="F40" s="3" t="s">
        <v>43</v>
      </c>
      <c r="G40" s="3" t="s">
        <v>44</v>
      </c>
      <c r="H40" s="6"/>
      <c r="I40" s="3"/>
      <c r="J40" s="3"/>
    </row>
    <row r="41" spans="1:10" ht="27" customHeight="1">
      <c r="A41" s="3" t="s">
        <v>860</v>
      </c>
      <c r="B41" s="3" t="s">
        <v>861</v>
      </c>
      <c r="C41" s="3" t="s">
        <v>862</v>
      </c>
      <c r="D41" s="3">
        <v>16</v>
      </c>
      <c r="E41" s="6">
        <v>46362</v>
      </c>
      <c r="F41" s="3" t="s">
        <v>43</v>
      </c>
      <c r="G41" s="3" t="s">
        <v>44</v>
      </c>
      <c r="H41" s="6"/>
      <c r="I41" s="3"/>
      <c r="J41" s="3"/>
    </row>
    <row r="42" spans="1:10" ht="27" customHeight="1">
      <c r="A42" s="4" t="s">
        <v>863</v>
      </c>
      <c r="B42" s="4" t="s">
        <v>864</v>
      </c>
      <c r="C42" s="4" t="s">
        <v>865</v>
      </c>
      <c r="D42" s="4">
        <v>16</v>
      </c>
      <c r="E42" s="7">
        <v>46362</v>
      </c>
      <c r="F42" s="4" t="s">
        <v>43</v>
      </c>
      <c r="G42" s="4" t="s">
        <v>44</v>
      </c>
      <c r="H42" s="7"/>
      <c r="I42" s="4"/>
      <c r="J42" s="4"/>
    </row>
  </sheetData>
  <mergeCells count="2">
    <mergeCell ref="A1:J2"/>
    <mergeCell ref="A3:J3"/>
  </mergeCells>
  <conditionalFormatting sqref="F6:F42">
    <cfRule type="containsText" dxfId="7" priority="1" operator="containsText" text="Approved"/>
    <cfRule type="containsText" dxfId="6" priority="2" operator="containsText" text="Drafting"/>
    <cfRule type="containsText" dxfId="5" priority="3" operator="containsText" text="Ready for Review"/>
    <cfRule type="containsText" dxfId="4" priority="4" operator="containsText" text="Needs Update"/>
  </conditionalFormatting>
  <dataValidations count="2">
    <dataValidation type="list" sqref="F6:F42" xr:uid="{00000000-0002-0000-0300-000000000000}">
      <formula1>"Not Started,Drafting,Ready for Review,Approved,Needs Update"</formula1>
    </dataValidation>
    <dataValidation type="list" sqref="G6:G42" xr:uid="{00000000-0002-0000-0300-000001000000}">
      <formula1>"Finlay,Peer Review,Unassigned"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1"/>
  <sheetViews>
    <sheetView showGridLines="0" workbookViewId="0"/>
  </sheetViews>
  <sheetFormatPr defaultRowHeight="14.25"/>
  <cols>
    <col min="1" max="1" width="12" customWidth="1"/>
    <col min="2" max="2" width="20" customWidth="1"/>
    <col min="3" max="3" width="48" customWidth="1"/>
    <col min="4" max="4" width="32" customWidth="1"/>
    <col min="5" max="5" width="12" customWidth="1"/>
    <col min="6" max="6" width="14" customWidth="1"/>
    <col min="7" max="7" width="18" customWidth="1"/>
    <col min="8" max="8" width="30" customWidth="1"/>
    <col min="9" max="10" width="42" customWidth="1"/>
    <col min="11" max="11" width="15" customWidth="1"/>
    <col min="12" max="12" width="28" customWidth="1"/>
  </cols>
  <sheetData>
    <row r="1" spans="1:12" ht="27" customHeight="1">
      <c r="A1" s="33" t="s">
        <v>866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</row>
    <row r="2" spans="1:12" ht="27" customHeight="1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</row>
    <row r="3" spans="1:12" ht="33.950000000000003" customHeight="1">
      <c r="A3" s="34" t="s">
        <v>867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</row>
    <row r="5" spans="1:12" ht="30" customHeight="1">
      <c r="A5" s="1" t="s">
        <v>868</v>
      </c>
      <c r="B5" s="1" t="s">
        <v>869</v>
      </c>
      <c r="C5" s="1" t="s">
        <v>870</v>
      </c>
      <c r="D5" s="1" t="s">
        <v>871</v>
      </c>
      <c r="E5" s="1" t="s">
        <v>752</v>
      </c>
      <c r="F5" s="1" t="s">
        <v>26</v>
      </c>
      <c r="G5" s="1" t="s">
        <v>28</v>
      </c>
      <c r="H5" s="1" t="s">
        <v>872</v>
      </c>
      <c r="I5" s="1" t="s">
        <v>873</v>
      </c>
      <c r="J5" s="1" t="s">
        <v>874</v>
      </c>
      <c r="K5" s="1" t="s">
        <v>875</v>
      </c>
      <c r="L5" s="1" t="s">
        <v>36</v>
      </c>
    </row>
    <row r="6" spans="1:12" ht="42" customHeight="1">
      <c r="A6" s="2" t="s">
        <v>876</v>
      </c>
      <c r="B6" s="2" t="s">
        <v>877</v>
      </c>
      <c r="C6" s="2" t="s">
        <v>878</v>
      </c>
      <c r="D6" s="2" t="s">
        <v>879</v>
      </c>
      <c r="E6" s="2">
        <v>1</v>
      </c>
      <c r="F6" s="5">
        <v>46257</v>
      </c>
      <c r="G6" s="2" t="s">
        <v>43</v>
      </c>
      <c r="H6" s="2"/>
      <c r="I6" s="2"/>
      <c r="J6" s="2"/>
      <c r="K6" s="5"/>
      <c r="L6" s="2"/>
    </row>
    <row r="7" spans="1:12" ht="42" customHeight="1">
      <c r="A7" s="3" t="s">
        <v>880</v>
      </c>
      <c r="B7" s="3" t="s">
        <v>881</v>
      </c>
      <c r="C7" s="3" t="s">
        <v>882</v>
      </c>
      <c r="D7" s="3" t="s">
        <v>883</v>
      </c>
      <c r="E7" s="3">
        <v>1</v>
      </c>
      <c r="F7" s="6">
        <v>46257</v>
      </c>
      <c r="G7" s="3" t="s">
        <v>43</v>
      </c>
      <c r="H7" s="3"/>
      <c r="I7" s="3"/>
      <c r="J7" s="3"/>
      <c r="K7" s="6"/>
      <c r="L7" s="3"/>
    </row>
    <row r="8" spans="1:12" ht="42" customHeight="1">
      <c r="A8" s="3" t="s">
        <v>884</v>
      </c>
      <c r="B8" s="3" t="s">
        <v>885</v>
      </c>
      <c r="C8" s="3" t="s">
        <v>886</v>
      </c>
      <c r="D8" s="3" t="s">
        <v>887</v>
      </c>
      <c r="E8" s="3">
        <v>1</v>
      </c>
      <c r="F8" s="6">
        <v>46257</v>
      </c>
      <c r="G8" s="3" t="s">
        <v>43</v>
      </c>
      <c r="H8" s="3"/>
      <c r="I8" s="3"/>
      <c r="J8" s="3"/>
      <c r="K8" s="6"/>
      <c r="L8" s="3"/>
    </row>
    <row r="9" spans="1:12" ht="42" customHeight="1">
      <c r="A9" s="3" t="s">
        <v>888</v>
      </c>
      <c r="B9" s="3" t="s">
        <v>889</v>
      </c>
      <c r="C9" s="3" t="s">
        <v>890</v>
      </c>
      <c r="D9" s="3" t="s">
        <v>891</v>
      </c>
      <c r="E9" s="3">
        <v>1</v>
      </c>
      <c r="F9" s="6">
        <v>46257</v>
      </c>
      <c r="G9" s="3" t="s">
        <v>43</v>
      </c>
      <c r="H9" s="3"/>
      <c r="I9" s="3"/>
      <c r="J9" s="3"/>
      <c r="K9" s="6"/>
      <c r="L9" s="3"/>
    </row>
    <row r="10" spans="1:12" ht="42" customHeight="1">
      <c r="A10" s="3" t="s">
        <v>892</v>
      </c>
      <c r="B10" s="3" t="s">
        <v>893</v>
      </c>
      <c r="C10" s="3" t="s">
        <v>894</v>
      </c>
      <c r="D10" s="3" t="s">
        <v>895</v>
      </c>
      <c r="E10" s="3">
        <v>1</v>
      </c>
      <c r="F10" s="6">
        <v>46257</v>
      </c>
      <c r="G10" s="3" t="s">
        <v>43</v>
      </c>
      <c r="H10" s="3"/>
      <c r="I10" s="3"/>
      <c r="J10" s="3"/>
      <c r="K10" s="6"/>
      <c r="L10" s="3"/>
    </row>
    <row r="11" spans="1:12" ht="42" customHeight="1">
      <c r="A11" s="3" t="s">
        <v>896</v>
      </c>
      <c r="B11" s="3" t="s">
        <v>184</v>
      </c>
      <c r="C11" s="3" t="s">
        <v>897</v>
      </c>
      <c r="D11" s="3" t="s">
        <v>898</v>
      </c>
      <c r="E11" s="3">
        <v>1</v>
      </c>
      <c r="F11" s="6">
        <v>46257</v>
      </c>
      <c r="G11" s="3" t="s">
        <v>43</v>
      </c>
      <c r="H11" s="3"/>
      <c r="I11" s="3"/>
      <c r="J11" s="3"/>
      <c r="K11" s="6"/>
      <c r="L11" s="3"/>
    </row>
    <row r="12" spans="1:12" ht="42" customHeight="1">
      <c r="A12" s="3" t="s">
        <v>899</v>
      </c>
      <c r="B12" s="3" t="s">
        <v>157</v>
      </c>
      <c r="C12" s="3" t="s">
        <v>900</v>
      </c>
      <c r="D12" s="3" t="s">
        <v>901</v>
      </c>
      <c r="E12" s="3">
        <v>3</v>
      </c>
      <c r="F12" s="6">
        <v>46271</v>
      </c>
      <c r="G12" s="3" t="s">
        <v>43</v>
      </c>
      <c r="H12" s="3"/>
      <c r="I12" s="3"/>
      <c r="J12" s="3"/>
      <c r="K12" s="6"/>
      <c r="L12" s="3"/>
    </row>
    <row r="13" spans="1:12" ht="42" customHeight="1">
      <c r="A13" s="3" t="s">
        <v>902</v>
      </c>
      <c r="B13" s="3" t="s">
        <v>903</v>
      </c>
      <c r="C13" s="3" t="s">
        <v>904</v>
      </c>
      <c r="D13" s="3" t="s">
        <v>905</v>
      </c>
      <c r="E13" s="3">
        <v>13</v>
      </c>
      <c r="F13" s="6">
        <v>46341</v>
      </c>
      <c r="G13" s="3" t="s">
        <v>43</v>
      </c>
      <c r="H13" s="3"/>
      <c r="I13" s="3"/>
      <c r="J13" s="3"/>
      <c r="K13" s="6"/>
      <c r="L13" s="3"/>
    </row>
    <row r="14" spans="1:12" ht="42" customHeight="1">
      <c r="A14" s="3" t="s">
        <v>906</v>
      </c>
      <c r="B14" s="3" t="s">
        <v>907</v>
      </c>
      <c r="C14" s="3" t="s">
        <v>908</v>
      </c>
      <c r="D14" s="3" t="s">
        <v>909</v>
      </c>
      <c r="E14" s="3">
        <v>13</v>
      </c>
      <c r="F14" s="6">
        <v>46341</v>
      </c>
      <c r="G14" s="3" t="s">
        <v>43</v>
      </c>
      <c r="H14" s="3"/>
      <c r="I14" s="3"/>
      <c r="J14" s="3"/>
      <c r="K14" s="6"/>
      <c r="L14" s="3"/>
    </row>
    <row r="15" spans="1:12" ht="42" customHeight="1">
      <c r="A15" s="3" t="s">
        <v>910</v>
      </c>
      <c r="B15" s="3" t="s">
        <v>911</v>
      </c>
      <c r="C15" s="3" t="s">
        <v>912</v>
      </c>
      <c r="D15" s="3" t="s">
        <v>913</v>
      </c>
      <c r="E15" s="3">
        <v>16</v>
      </c>
      <c r="F15" s="6">
        <v>46362</v>
      </c>
      <c r="G15" s="3" t="s">
        <v>43</v>
      </c>
      <c r="H15" s="3"/>
      <c r="I15" s="3"/>
      <c r="J15" s="3"/>
      <c r="K15" s="6"/>
      <c r="L15" s="3"/>
    </row>
    <row r="16" spans="1:12" ht="42" customHeight="1">
      <c r="A16" s="3" t="s">
        <v>914</v>
      </c>
      <c r="B16" s="3" t="s">
        <v>348</v>
      </c>
      <c r="C16" s="3" t="s">
        <v>915</v>
      </c>
      <c r="D16" s="3" t="s">
        <v>916</v>
      </c>
      <c r="E16" s="3">
        <v>3</v>
      </c>
      <c r="F16" s="6">
        <v>46271</v>
      </c>
      <c r="G16" s="3" t="s">
        <v>43</v>
      </c>
      <c r="H16" s="3"/>
      <c r="I16" s="3"/>
      <c r="J16" s="3"/>
      <c r="K16" s="6"/>
      <c r="L16" s="3"/>
    </row>
    <row r="17" spans="1:12" ht="42" customHeight="1">
      <c r="A17" s="3" t="s">
        <v>917</v>
      </c>
      <c r="B17" s="3" t="s">
        <v>918</v>
      </c>
      <c r="C17" s="3" t="s">
        <v>919</v>
      </c>
      <c r="D17" s="3" t="s">
        <v>920</v>
      </c>
      <c r="E17" s="3">
        <v>3</v>
      </c>
      <c r="F17" s="6">
        <v>46271</v>
      </c>
      <c r="G17" s="3" t="s">
        <v>43</v>
      </c>
      <c r="H17" s="3"/>
      <c r="I17" s="3"/>
      <c r="J17" s="3"/>
      <c r="K17" s="6"/>
      <c r="L17" s="3"/>
    </row>
    <row r="18" spans="1:12" ht="42" customHeight="1">
      <c r="A18" s="3" t="s">
        <v>921</v>
      </c>
      <c r="B18" s="3" t="s">
        <v>378</v>
      </c>
      <c r="C18" s="3" t="s">
        <v>922</v>
      </c>
      <c r="D18" s="3" t="s">
        <v>923</v>
      </c>
      <c r="E18" s="3">
        <v>8</v>
      </c>
      <c r="F18" s="6">
        <v>46306</v>
      </c>
      <c r="G18" s="3" t="s">
        <v>43</v>
      </c>
      <c r="H18" s="3"/>
      <c r="I18" s="3"/>
      <c r="J18" s="3"/>
      <c r="K18" s="6"/>
      <c r="L18" s="3"/>
    </row>
    <row r="19" spans="1:12" ht="42" customHeight="1">
      <c r="A19" s="3" t="s">
        <v>924</v>
      </c>
      <c r="B19" s="3" t="s">
        <v>925</v>
      </c>
      <c r="C19" s="3" t="s">
        <v>926</v>
      </c>
      <c r="D19" s="3" t="s">
        <v>927</v>
      </c>
      <c r="E19" s="3">
        <v>3</v>
      </c>
      <c r="F19" s="6">
        <v>46271</v>
      </c>
      <c r="G19" s="3" t="s">
        <v>43</v>
      </c>
      <c r="H19" s="3"/>
      <c r="I19" s="3"/>
      <c r="J19" s="3"/>
      <c r="K19" s="6"/>
      <c r="L19" s="3"/>
    </row>
    <row r="20" spans="1:12" ht="42" customHeight="1">
      <c r="A20" s="3" t="s">
        <v>928</v>
      </c>
      <c r="B20" s="3" t="s">
        <v>929</v>
      </c>
      <c r="C20" s="3" t="s">
        <v>930</v>
      </c>
      <c r="D20" s="3" t="s">
        <v>931</v>
      </c>
      <c r="E20" s="3">
        <v>2</v>
      </c>
      <c r="F20" s="6">
        <v>46264</v>
      </c>
      <c r="G20" s="3" t="s">
        <v>43</v>
      </c>
      <c r="H20" s="3"/>
      <c r="I20" s="3"/>
      <c r="J20" s="3"/>
      <c r="K20" s="6"/>
      <c r="L20" s="3"/>
    </row>
    <row r="21" spans="1:12" ht="42" customHeight="1">
      <c r="A21" s="4" t="s">
        <v>932</v>
      </c>
      <c r="B21" s="4" t="s">
        <v>933</v>
      </c>
      <c r="C21" s="4" t="s">
        <v>934</v>
      </c>
      <c r="D21" s="4" t="s">
        <v>935</v>
      </c>
      <c r="E21" s="4">
        <v>10</v>
      </c>
      <c r="F21" s="7">
        <v>46320</v>
      </c>
      <c r="G21" s="4" t="s">
        <v>43</v>
      </c>
      <c r="H21" s="4"/>
      <c r="I21" s="4"/>
      <c r="J21" s="4"/>
      <c r="K21" s="7"/>
      <c r="L21" s="4"/>
    </row>
  </sheetData>
  <mergeCells count="2">
    <mergeCell ref="A1:L2"/>
    <mergeCell ref="A3:L3"/>
  </mergeCells>
  <conditionalFormatting sqref="G6:G21">
    <cfRule type="containsText" dxfId="3" priority="1" operator="containsText" text="Decision Made"/>
    <cfRule type="containsText" dxfId="2" priority="2" operator="containsText" text="In Progress"/>
    <cfRule type="containsText" dxfId="1" priority="3" operator="containsText" text="Evidence Collected"/>
    <cfRule type="containsText" dxfId="0" priority="4" operator="containsText" text="Blocked"/>
  </conditionalFormatting>
  <dataValidations count="1">
    <dataValidation type="list" sqref="G6:G21" xr:uid="{00000000-0002-0000-0400-000000000000}">
      <formula1>"Not Started,In Progress,Evidence Collected,Decision Made,Blocked"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7"/>
  <sheetViews>
    <sheetView showGridLines="0" workbookViewId="0"/>
  </sheetViews>
  <sheetFormatPr defaultRowHeight="14.25"/>
  <cols>
    <col min="1" max="1" width="15" customWidth="1"/>
    <col min="2" max="2" width="30" customWidth="1"/>
    <col min="3" max="3" width="65" customWidth="1"/>
    <col min="4" max="8" width="8" customWidth="1"/>
  </cols>
  <sheetData>
    <row r="1" spans="1:8" ht="27" customHeight="1">
      <c r="A1" s="33" t="s">
        <v>936</v>
      </c>
      <c r="B1" s="33"/>
      <c r="C1" s="33"/>
      <c r="D1" s="33"/>
      <c r="E1" s="33"/>
      <c r="F1" s="33"/>
      <c r="G1" s="33"/>
      <c r="H1" s="33"/>
    </row>
    <row r="2" spans="1:8" ht="27" customHeight="1">
      <c r="A2" s="33"/>
      <c r="B2" s="33"/>
      <c r="C2" s="33"/>
      <c r="D2" s="33"/>
      <c r="E2" s="33"/>
      <c r="F2" s="33"/>
      <c r="G2" s="33"/>
      <c r="H2" s="33"/>
    </row>
    <row r="3" spans="1:8" ht="33.950000000000003" customHeight="1">
      <c r="A3" s="34" t="s">
        <v>937</v>
      </c>
      <c r="B3" s="34"/>
      <c r="C3" s="34"/>
      <c r="D3" s="34"/>
      <c r="E3" s="34"/>
      <c r="F3" s="34"/>
      <c r="G3" s="34"/>
      <c r="H3" s="34"/>
    </row>
    <row r="5" spans="1:8" ht="18.75">
      <c r="A5" s="74" t="s">
        <v>938</v>
      </c>
      <c r="B5" s="74"/>
      <c r="C5" s="74"/>
      <c r="D5" s="74"/>
      <c r="E5" s="74"/>
      <c r="F5" s="74"/>
      <c r="G5" s="74"/>
      <c r="H5" s="74"/>
    </row>
    <row r="7" spans="1:8" ht="33.950000000000003" customHeight="1">
      <c r="A7" s="20" t="s">
        <v>939</v>
      </c>
      <c r="B7" s="23" t="s">
        <v>940</v>
      </c>
      <c r="C7" s="17" t="s">
        <v>941</v>
      </c>
    </row>
    <row r="8" spans="1:8" ht="33.950000000000003" customHeight="1">
      <c r="A8" s="21" t="s">
        <v>942</v>
      </c>
      <c r="B8" s="24" t="s">
        <v>943</v>
      </c>
      <c r="C8" s="18" t="s">
        <v>944</v>
      </c>
    </row>
    <row r="9" spans="1:8" ht="33.950000000000003" customHeight="1">
      <c r="A9" s="21" t="s">
        <v>945</v>
      </c>
      <c r="B9" s="24" t="s">
        <v>946</v>
      </c>
      <c r="C9" s="18" t="s">
        <v>947</v>
      </c>
    </row>
    <row r="10" spans="1:8" ht="33.950000000000003" customHeight="1">
      <c r="A10" s="21" t="s">
        <v>948</v>
      </c>
      <c r="B10" s="24" t="s">
        <v>949</v>
      </c>
      <c r="C10" s="18" t="s">
        <v>950</v>
      </c>
    </row>
    <row r="11" spans="1:8" ht="33.950000000000003" customHeight="1">
      <c r="A11" s="21" t="s">
        <v>951</v>
      </c>
      <c r="B11" s="24" t="s">
        <v>952</v>
      </c>
      <c r="C11" s="18" t="s">
        <v>953</v>
      </c>
    </row>
    <row r="12" spans="1:8" ht="33.950000000000003" customHeight="1">
      <c r="A12" s="21" t="s">
        <v>954</v>
      </c>
      <c r="B12" s="24" t="s">
        <v>955</v>
      </c>
      <c r="C12" s="18" t="s">
        <v>956</v>
      </c>
    </row>
    <row r="13" spans="1:8" ht="33.950000000000003" customHeight="1">
      <c r="A13" s="21" t="s">
        <v>957</v>
      </c>
      <c r="B13" s="24" t="s">
        <v>958</v>
      </c>
      <c r="C13" s="18" t="s">
        <v>959</v>
      </c>
    </row>
    <row r="14" spans="1:8" ht="33.950000000000003" customHeight="1">
      <c r="A14" s="22" t="s">
        <v>960</v>
      </c>
      <c r="B14" s="25" t="s">
        <v>961</v>
      </c>
      <c r="C14" s="19" t="s">
        <v>962</v>
      </c>
    </row>
    <row r="16" spans="1:8" ht="17.25">
      <c r="A16" s="75" t="s">
        <v>963</v>
      </c>
      <c r="B16" s="75"/>
      <c r="C16" s="75"/>
      <c r="D16" s="75"/>
      <c r="E16" s="75"/>
      <c r="F16" s="75"/>
      <c r="G16" s="75"/>
      <c r="H16" s="75"/>
    </row>
    <row r="18" spans="1:8" ht="38.1" customHeight="1">
      <c r="A18" s="26" t="s">
        <v>43</v>
      </c>
      <c r="B18" s="17" t="s">
        <v>964</v>
      </c>
      <c r="C18" s="17" t="s">
        <v>965</v>
      </c>
    </row>
    <row r="19" spans="1:8" ht="38.1" customHeight="1">
      <c r="A19" s="27" t="s">
        <v>966</v>
      </c>
      <c r="B19" s="18" t="s">
        <v>967</v>
      </c>
      <c r="C19" s="18" t="s">
        <v>968</v>
      </c>
    </row>
    <row r="20" spans="1:8" ht="38.1" customHeight="1">
      <c r="A20" s="27" t="s">
        <v>969</v>
      </c>
      <c r="B20" s="18" t="s">
        <v>970</v>
      </c>
      <c r="C20" s="18" t="s">
        <v>971</v>
      </c>
    </row>
    <row r="21" spans="1:8" ht="38.1" customHeight="1">
      <c r="A21" s="27" t="s">
        <v>972</v>
      </c>
      <c r="B21" s="18" t="s">
        <v>973</v>
      </c>
      <c r="C21" s="18" t="s">
        <v>974</v>
      </c>
    </row>
    <row r="22" spans="1:8" ht="38.1" customHeight="1">
      <c r="A22" s="27" t="s">
        <v>6</v>
      </c>
      <c r="B22" s="18" t="s">
        <v>975</v>
      </c>
      <c r="C22" s="18" t="s">
        <v>976</v>
      </c>
    </row>
    <row r="23" spans="1:8" ht="38.1" customHeight="1">
      <c r="A23" s="28" t="s">
        <v>977</v>
      </c>
      <c r="B23" s="19" t="s">
        <v>978</v>
      </c>
      <c r="C23" s="19" t="s">
        <v>979</v>
      </c>
    </row>
    <row r="25" spans="1:8">
      <c r="A25" s="76" t="s">
        <v>980</v>
      </c>
      <c r="B25" s="77"/>
      <c r="C25" s="77"/>
      <c r="D25" s="77"/>
      <c r="E25" s="77"/>
      <c r="F25" s="77"/>
      <c r="G25" s="77"/>
      <c r="H25" s="78"/>
    </row>
    <row r="26" spans="1:8">
      <c r="A26" s="79"/>
      <c r="B26" s="80"/>
      <c r="C26" s="80"/>
      <c r="D26" s="80"/>
      <c r="E26" s="80"/>
      <c r="F26" s="80"/>
      <c r="G26" s="80"/>
      <c r="H26" s="81"/>
    </row>
    <row r="27" spans="1:8">
      <c r="A27" s="82"/>
      <c r="B27" s="83"/>
      <c r="C27" s="83"/>
      <c r="D27" s="83"/>
      <c r="E27" s="83"/>
      <c r="F27" s="83"/>
      <c r="G27" s="83"/>
      <c r="H27" s="84"/>
    </row>
  </sheetData>
  <mergeCells count="5">
    <mergeCell ref="A1:H2"/>
    <mergeCell ref="A3:H3"/>
    <mergeCell ref="A5:H5"/>
    <mergeCell ref="A16:H16"/>
    <mergeCell ref="A25:H2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7"/>
  <sheetViews>
    <sheetView showGridLines="0" workbookViewId="0"/>
  </sheetViews>
  <sheetFormatPr defaultRowHeight="14.25"/>
  <sheetData>
    <row r="1" spans="1:9" ht="24">
      <c r="A1" s="30" t="s">
        <v>28</v>
      </c>
      <c r="B1" s="30" t="s">
        <v>981</v>
      </c>
      <c r="C1" s="29"/>
      <c r="D1" s="30" t="s">
        <v>4</v>
      </c>
      <c r="E1" s="30" t="s">
        <v>7</v>
      </c>
      <c r="F1" s="29"/>
      <c r="G1" s="30" t="s">
        <v>11</v>
      </c>
      <c r="H1" s="30" t="s">
        <v>14</v>
      </c>
      <c r="I1" s="30" t="s">
        <v>30</v>
      </c>
    </row>
    <row r="2" spans="1:9" ht="24">
      <c r="A2" s="29" t="s">
        <v>43</v>
      </c>
      <c r="B2" s="29">
        <f>COUNTIF('Task Tracker'!$J$6:$J$212,A2)</f>
        <v>205</v>
      </c>
      <c r="C2" s="29"/>
      <c r="D2" s="29" t="s">
        <v>38</v>
      </c>
      <c r="E2" s="31">
        <f>IF(COUNTIF('Task Tracker'!$B$6:$B$212,D2)=0,0,SUMIF('Task Tracker'!$B$6:$B$212,D2,'Task Tracker'!$K$6:$K$212)/COUNTIF('Task Tracker'!$B$6:$B$212,D2))</f>
        <v>0.11764705882352941</v>
      </c>
      <c r="F2" s="29"/>
      <c r="G2" s="29">
        <v>1</v>
      </c>
      <c r="H2" s="32">
        <f>SUMIF('Task Tracker'!$C$6:$C$212,G2,'Task Tracker'!$L$6:$L$212)</f>
        <v>36</v>
      </c>
      <c r="I2" s="32">
        <f>SUMIF('Task Tracker'!$C$6:$C$212,G2,'Task Tracker'!$M$6:$M$212)</f>
        <v>2</v>
      </c>
    </row>
    <row r="3" spans="1:9" ht="36">
      <c r="A3" s="29" t="s">
        <v>966</v>
      </c>
      <c r="B3" s="29">
        <f>COUNTIF('Task Tracker'!$J$6:$J$212,A3)</f>
        <v>0</v>
      </c>
      <c r="C3" s="29"/>
      <c r="D3" s="29" t="s">
        <v>100</v>
      </c>
      <c r="E3" s="31">
        <f>IF(COUNTIF('Task Tracker'!$B$6:$B$212,D3)=0,0,SUMIF('Task Tracker'!$B$6:$B$212,D3,'Task Tracker'!$K$6:$K$212)/COUNTIF('Task Tracker'!$B$6:$B$212,D3))</f>
        <v>0</v>
      </c>
      <c r="F3" s="29"/>
      <c r="G3" s="29">
        <v>2</v>
      </c>
      <c r="H3" s="32">
        <f>SUMIF('Task Tracker'!$C$6:$C$212,G3,'Task Tracker'!$L$6:$L$212)</f>
        <v>41.5</v>
      </c>
      <c r="I3" s="32">
        <f>SUMIF('Task Tracker'!$C$6:$C$212,G3,'Task Tracker'!$M$6:$M$212)</f>
        <v>0</v>
      </c>
    </row>
    <row r="4" spans="1:9" ht="24">
      <c r="A4" s="29" t="s">
        <v>969</v>
      </c>
      <c r="B4" s="29">
        <f>COUNTIF('Task Tracker'!$J$6:$J$212,A4)</f>
        <v>0</v>
      </c>
      <c r="C4" s="29"/>
      <c r="D4" s="29" t="s">
        <v>146</v>
      </c>
      <c r="E4" s="31">
        <f>IF(COUNTIF('Task Tracker'!$B$6:$B$212,D4)=0,0,SUMIF('Task Tracker'!$B$6:$B$212,D4,'Task Tracker'!$K$6:$K$212)/COUNTIF('Task Tracker'!$B$6:$B$212,D4))</f>
        <v>0</v>
      </c>
      <c r="F4" s="29"/>
      <c r="G4" s="29">
        <v>3</v>
      </c>
      <c r="H4" s="32">
        <f>SUMIF('Task Tracker'!$C$6:$C$212,G4,'Task Tracker'!$L$6:$L$212)</f>
        <v>47.5</v>
      </c>
      <c r="I4" s="32">
        <f>SUMIF('Task Tracker'!$C$6:$C$212,G4,'Task Tracker'!$M$6:$M$212)</f>
        <v>0</v>
      </c>
    </row>
    <row r="5" spans="1:9" ht="24">
      <c r="A5" s="29" t="s">
        <v>972</v>
      </c>
      <c r="B5" s="29">
        <f>COUNTIF('Task Tracker'!$J$6:$J$212,A5)</f>
        <v>0</v>
      </c>
      <c r="C5" s="29"/>
      <c r="D5" s="29" t="s">
        <v>199</v>
      </c>
      <c r="E5" s="31">
        <f>IF(COUNTIF('Task Tracker'!$B$6:$B$212,D5)=0,0,SUMIF('Task Tracker'!$B$6:$B$212,D5,'Task Tracker'!$K$6:$K$212)/COUNTIF('Task Tracker'!$B$6:$B$212,D5))</f>
        <v>0</v>
      </c>
      <c r="F5" s="29"/>
      <c r="G5" s="29">
        <v>4</v>
      </c>
      <c r="H5" s="32">
        <f>SUMIF('Task Tracker'!$C$6:$C$212,G5,'Task Tracker'!$L$6:$L$212)</f>
        <v>36.5</v>
      </c>
      <c r="I5" s="32">
        <f>SUMIF('Task Tracker'!$C$6:$C$212,G5,'Task Tracker'!$M$6:$M$212)</f>
        <v>0</v>
      </c>
    </row>
    <row r="6" spans="1:9" ht="24">
      <c r="A6" s="29" t="s">
        <v>6</v>
      </c>
      <c r="B6" s="29">
        <f>COUNTIF('Task Tracker'!$J$6:$J$212,A6)</f>
        <v>2</v>
      </c>
      <c r="C6" s="29"/>
      <c r="D6" s="29" t="s">
        <v>278</v>
      </c>
      <c r="E6" s="31">
        <f>IF(COUNTIF('Task Tracker'!$B$6:$B$212,D6)=0,0,SUMIF('Task Tracker'!$B$6:$B$212,D6,'Task Tracker'!$K$6:$K$212)/COUNTIF('Task Tracker'!$B$6:$B$212,D6))</f>
        <v>0</v>
      </c>
      <c r="F6" s="29"/>
      <c r="G6" s="29">
        <v>5</v>
      </c>
      <c r="H6" s="32">
        <f>SUMIF('Task Tracker'!$C$6:$C$212,G6,'Task Tracker'!$L$6:$L$212)</f>
        <v>44</v>
      </c>
      <c r="I6" s="32">
        <f>SUMIF('Task Tracker'!$C$6:$C$212,G6,'Task Tracker'!$M$6:$M$212)</f>
        <v>0</v>
      </c>
    </row>
    <row r="7" spans="1:9" ht="24">
      <c r="A7" s="29" t="s">
        <v>977</v>
      </c>
      <c r="B7" s="29">
        <f>COUNTIF('Task Tracker'!$J$6:$J$212,A7)</f>
        <v>0</v>
      </c>
      <c r="C7" s="29"/>
      <c r="D7" s="29" t="s">
        <v>347</v>
      </c>
      <c r="E7" s="31">
        <f>IF(COUNTIF('Task Tracker'!$B$6:$B$212,D7)=0,0,SUMIF('Task Tracker'!$B$6:$B$212,D7,'Task Tracker'!$K$6:$K$212)/COUNTIF('Task Tracker'!$B$6:$B$212,D7))</f>
        <v>0</v>
      </c>
      <c r="F7" s="29"/>
      <c r="G7" s="29">
        <v>6</v>
      </c>
      <c r="H7" s="32">
        <f>SUMIF('Task Tracker'!$C$6:$C$212,G7,'Task Tracker'!$L$6:$L$212)</f>
        <v>40</v>
      </c>
      <c r="I7" s="32">
        <f>SUMIF('Task Tracker'!$C$6:$C$212,G7,'Task Tracker'!$M$6:$M$212)</f>
        <v>0</v>
      </c>
    </row>
    <row r="8" spans="1:9" ht="36">
      <c r="A8" s="29"/>
      <c r="B8" s="29"/>
      <c r="C8" s="29"/>
      <c r="D8" s="29" t="s">
        <v>470</v>
      </c>
      <c r="E8" s="31">
        <f>IF(COUNTIF('Task Tracker'!$B$6:$B$212,D8)=0,0,SUMIF('Task Tracker'!$B$6:$B$212,D8,'Task Tracker'!$K$6:$K$212)/COUNTIF('Task Tracker'!$B$6:$B$212,D8))</f>
        <v>0</v>
      </c>
      <c r="F8" s="29"/>
      <c r="G8" s="29">
        <v>7</v>
      </c>
      <c r="H8" s="32">
        <f>SUMIF('Task Tracker'!$C$6:$C$212,G8,'Task Tracker'!$L$6:$L$212)</f>
        <v>39</v>
      </c>
      <c r="I8" s="32">
        <f>SUMIF('Task Tracker'!$C$6:$C$212,G8,'Task Tracker'!$M$6:$M$212)</f>
        <v>0</v>
      </c>
    </row>
    <row r="9" spans="1:9" ht="24">
      <c r="A9" s="29"/>
      <c r="B9" s="29"/>
      <c r="C9" s="29"/>
      <c r="D9" s="29" t="s">
        <v>583</v>
      </c>
      <c r="E9" s="31">
        <f>IF(COUNTIF('Task Tracker'!$B$6:$B$212,D9)=0,0,SUMIF('Task Tracker'!$B$6:$B$212,D9,'Task Tracker'!$K$6:$K$212)/COUNTIF('Task Tracker'!$B$6:$B$212,D9))</f>
        <v>0</v>
      </c>
      <c r="F9" s="29"/>
      <c r="G9" s="29">
        <v>8</v>
      </c>
      <c r="H9" s="32">
        <f>SUMIF('Task Tracker'!$C$6:$C$212,G9,'Task Tracker'!$L$6:$L$212)</f>
        <v>45.5</v>
      </c>
      <c r="I9" s="32">
        <f>SUMIF('Task Tracker'!$C$6:$C$212,G9,'Task Tracker'!$M$6:$M$212)</f>
        <v>0</v>
      </c>
    </row>
    <row r="10" spans="1:9">
      <c r="A10" s="29"/>
      <c r="B10" s="29"/>
      <c r="C10" s="29"/>
      <c r="D10" s="29"/>
      <c r="E10" s="29"/>
      <c r="F10" s="29"/>
      <c r="G10" s="29">
        <v>9</v>
      </c>
      <c r="H10" s="32">
        <f>SUMIF('Task Tracker'!$C$6:$C$212,G10,'Task Tracker'!$L$6:$L$212)</f>
        <v>48</v>
      </c>
      <c r="I10" s="32">
        <f>SUMIF('Task Tracker'!$C$6:$C$212,G10,'Task Tracker'!$M$6:$M$212)</f>
        <v>0</v>
      </c>
    </row>
    <row r="11" spans="1:9">
      <c r="A11" s="29"/>
      <c r="B11" s="29"/>
      <c r="C11" s="29"/>
      <c r="D11" s="29"/>
      <c r="E11" s="29"/>
      <c r="F11" s="29"/>
      <c r="G11" s="29">
        <v>10</v>
      </c>
      <c r="H11" s="32">
        <f>SUMIF('Task Tracker'!$C$6:$C$212,G11,'Task Tracker'!$L$6:$L$212)</f>
        <v>58</v>
      </c>
      <c r="I11" s="32">
        <f>SUMIF('Task Tracker'!$C$6:$C$212,G11,'Task Tracker'!$M$6:$M$212)</f>
        <v>0</v>
      </c>
    </row>
    <row r="12" spans="1:9">
      <c r="A12" s="29"/>
      <c r="B12" s="29"/>
      <c r="C12" s="29"/>
      <c r="D12" s="29"/>
      <c r="E12" s="29"/>
      <c r="F12" s="29"/>
      <c r="G12" s="29">
        <v>11</v>
      </c>
      <c r="H12" s="32">
        <f>SUMIF('Task Tracker'!$C$6:$C$212,G12,'Task Tracker'!$L$6:$L$212)</f>
        <v>40</v>
      </c>
      <c r="I12" s="32">
        <f>SUMIF('Task Tracker'!$C$6:$C$212,G12,'Task Tracker'!$M$6:$M$212)</f>
        <v>0</v>
      </c>
    </row>
    <row r="13" spans="1:9">
      <c r="A13" s="29"/>
      <c r="B13" s="29"/>
      <c r="C13" s="29"/>
      <c r="D13" s="29"/>
      <c r="E13" s="29"/>
      <c r="F13" s="29"/>
      <c r="G13" s="29">
        <v>12</v>
      </c>
      <c r="H13" s="32">
        <f>SUMIF('Task Tracker'!$C$6:$C$212,G13,'Task Tracker'!$L$6:$L$212)</f>
        <v>46</v>
      </c>
      <c r="I13" s="32">
        <f>SUMIF('Task Tracker'!$C$6:$C$212,G13,'Task Tracker'!$M$6:$M$212)</f>
        <v>0</v>
      </c>
    </row>
    <row r="14" spans="1:9">
      <c r="A14" s="29"/>
      <c r="B14" s="29"/>
      <c r="C14" s="29"/>
      <c r="D14" s="29"/>
      <c r="E14" s="29"/>
      <c r="F14" s="29"/>
      <c r="G14" s="29">
        <v>13</v>
      </c>
      <c r="H14" s="32">
        <f>SUMIF('Task Tracker'!$C$6:$C$212,G14,'Task Tracker'!$L$6:$L$212)</f>
        <v>51</v>
      </c>
      <c r="I14" s="32">
        <f>SUMIF('Task Tracker'!$C$6:$C$212,G14,'Task Tracker'!$M$6:$M$212)</f>
        <v>0</v>
      </c>
    </row>
    <row r="15" spans="1:9">
      <c r="A15" s="29"/>
      <c r="B15" s="29"/>
      <c r="C15" s="29"/>
      <c r="D15" s="29"/>
      <c r="E15" s="29"/>
      <c r="F15" s="29"/>
      <c r="G15" s="29">
        <v>14</v>
      </c>
      <c r="H15" s="32">
        <f>SUMIF('Task Tracker'!$C$6:$C$212,G15,'Task Tracker'!$L$6:$L$212)</f>
        <v>52</v>
      </c>
      <c r="I15" s="32">
        <f>SUMIF('Task Tracker'!$C$6:$C$212,G15,'Task Tracker'!$M$6:$M$212)</f>
        <v>0</v>
      </c>
    </row>
    <row r="16" spans="1:9">
      <c r="A16" s="29"/>
      <c r="B16" s="29"/>
      <c r="C16" s="29"/>
      <c r="D16" s="29"/>
      <c r="E16" s="29"/>
      <c r="F16" s="29"/>
      <c r="G16" s="29">
        <v>15</v>
      </c>
      <c r="H16" s="32">
        <f>SUMIF('Task Tracker'!$C$6:$C$212,G16,'Task Tracker'!$L$6:$L$212)</f>
        <v>61</v>
      </c>
      <c r="I16" s="32">
        <f>SUMIF('Task Tracker'!$C$6:$C$212,G16,'Task Tracker'!$M$6:$M$212)</f>
        <v>0</v>
      </c>
    </row>
    <row r="17" spans="1:9">
      <c r="A17" s="29"/>
      <c r="B17" s="29"/>
      <c r="C17" s="29"/>
      <c r="D17" s="29"/>
      <c r="E17" s="29"/>
      <c r="F17" s="29"/>
      <c r="G17" s="29">
        <v>16</v>
      </c>
      <c r="H17" s="32">
        <f>SUMIF('Task Tracker'!$C$6:$C$212,G17,'Task Tracker'!$L$6:$L$212)</f>
        <v>53</v>
      </c>
      <c r="I17" s="32">
        <f>SUMIF('Task Tracker'!$C$6:$C$212,G17,'Task Tracker'!$M$6:$M$212)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Task Tracker</vt:lpstr>
      <vt:lpstr>Weekly Plan</vt:lpstr>
      <vt:lpstr>Documentation</vt:lpstr>
      <vt:lpstr>Research Log</vt:lpstr>
      <vt:lpstr>Guide</vt:lpstr>
      <vt:lpstr>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Finlay</dc:creator>
  <cp:lastModifiedBy>Cowan, Finlay</cp:lastModifiedBy>
  <dcterms:created xsi:type="dcterms:W3CDTF">2026-08-18T11:02:09Z</dcterms:created>
  <dcterms:modified xsi:type="dcterms:W3CDTF">2026-08-18T12:00:41Z</dcterms:modified>
</cp:coreProperties>
</file>